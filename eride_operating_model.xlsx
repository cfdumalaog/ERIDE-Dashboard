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da\Desktop\E-Ride\"/>
    </mc:Choice>
  </mc:AlternateContent>
  <xr:revisionPtr revIDLastSave="0" documentId="13_ncr:1_{1EC5B811-8C2E-44DB-A1AD-D377A055CEA6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Inputs" sheetId="1" r:id="rId1"/>
    <sheet name="Scenario_Comparison" sheetId="2" r:id="rId2"/>
    <sheet name="Model" sheetId="3" r:id="rId3"/>
    <sheet name="Cost_Breakdown" sheetId="4" r:id="rId4"/>
    <sheet name="Cloud_Tiers" sheetId="5" r:id="rId5"/>
    <sheet name="Dev_Budget" sheetId="6" r:id="rId6"/>
    <sheet name="Notes" sheetId="7" r:id="rId7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6" l="1"/>
  <c r="B10" i="6"/>
  <c r="C10" i="6" s="1"/>
  <c r="B9" i="6"/>
  <c r="C9" i="6" s="1"/>
  <c r="B8" i="6"/>
  <c r="C8" i="6" s="1"/>
  <c r="B7" i="6"/>
  <c r="B6" i="6"/>
  <c r="C6" i="6" s="1"/>
  <c r="B5" i="6"/>
  <c r="C5" i="6" s="1"/>
  <c r="B28" i="3"/>
  <c r="B13" i="4" s="1"/>
  <c r="B26" i="3"/>
  <c r="B11" i="4" s="1"/>
  <c r="B25" i="3"/>
  <c r="B10" i="4" s="1"/>
  <c r="B24" i="3"/>
  <c r="B9" i="4" s="1"/>
  <c r="B23" i="3"/>
  <c r="B8" i="4" s="1"/>
  <c r="B19" i="3"/>
  <c r="B17" i="3"/>
  <c r="B11" i="3"/>
  <c r="B10" i="3"/>
  <c r="B7" i="3"/>
  <c r="B6" i="3"/>
  <c r="B5" i="3"/>
  <c r="H6" i="2"/>
  <c r="F6" i="2"/>
  <c r="H5" i="2"/>
  <c r="E5" i="2"/>
  <c r="D5" i="2"/>
  <c r="C5" i="2"/>
  <c r="B5" i="2"/>
  <c r="B12" i="5"/>
  <c r="D12" i="5" s="1"/>
  <c r="B11" i="5"/>
  <c r="D11" i="5" s="1"/>
  <c r="B10" i="5"/>
  <c r="D10" i="5" s="1"/>
  <c r="C9" i="5"/>
  <c r="B9" i="5" s="1"/>
  <c r="D9" i="5" s="1"/>
  <c r="B8" i="5"/>
  <c r="B27" i="3" s="1"/>
  <c r="B12" i="4" s="1"/>
  <c r="B7" i="5"/>
  <c r="D7" i="5" s="1"/>
  <c r="B6" i="5"/>
  <c r="D6" i="5" s="1"/>
  <c r="B5" i="5"/>
  <c r="D5" i="5" s="1"/>
  <c r="B12" i="3" l="1"/>
  <c r="B13" i="3" s="1"/>
  <c r="B14" i="3" s="1"/>
  <c r="D5" i="6"/>
  <c r="D6" i="6"/>
  <c r="D7" i="6"/>
  <c r="D8" i="6"/>
  <c r="D8" i="5"/>
  <c r="D9" i="6"/>
  <c r="B8" i="3"/>
  <c r="B9" i="3" s="1"/>
  <c r="B20" i="3" s="1"/>
  <c r="D10" i="6"/>
  <c r="D11" i="6"/>
  <c r="D11" i="4"/>
  <c r="B22" i="3"/>
  <c r="B7" i="4" s="1"/>
  <c r="B15" i="3"/>
  <c r="F5" i="2" s="1"/>
  <c r="D12" i="4"/>
  <c r="D10" i="4"/>
  <c r="D13" i="4"/>
  <c r="B38" i="3"/>
  <c r="B5" i="4"/>
  <c r="C7" i="6"/>
  <c r="C11" i="6"/>
  <c r="B12" i="6"/>
  <c r="D9" i="4" l="1"/>
  <c r="D8" i="4"/>
  <c r="G6" i="2"/>
  <c r="I6" i="2" s="1"/>
  <c r="C12" i="6"/>
  <c r="D12" i="6"/>
  <c r="B16" i="3"/>
  <c r="B18" i="3" s="1"/>
  <c r="B34" i="3" s="1"/>
  <c r="J6" i="2"/>
  <c r="D5" i="4"/>
  <c r="B30" i="3"/>
  <c r="B15" i="4" s="1"/>
  <c r="B29" i="3"/>
  <c r="B14" i="4" s="1"/>
  <c r="B21" i="3"/>
  <c r="G5" i="2"/>
  <c r="I5" i="2" s="1"/>
  <c r="D7" i="4"/>
  <c r="D15" i="4" l="1"/>
  <c r="D14" i="4"/>
  <c r="B6" i="4"/>
  <c r="B39" i="3"/>
  <c r="B40" i="3" s="1"/>
  <c r="B31" i="3"/>
  <c r="B36" i="3" l="1"/>
  <c r="B33" i="3"/>
  <c r="C9" i="4"/>
  <c r="C10" i="4"/>
  <c r="C12" i="4"/>
  <c r="C8" i="4"/>
  <c r="C13" i="4"/>
  <c r="C11" i="4"/>
  <c r="C5" i="4"/>
  <c r="C7" i="4"/>
  <c r="B32" i="3"/>
  <c r="D6" i="4"/>
  <c r="C6" i="4"/>
  <c r="C14" i="4"/>
  <c r="C15" i="4"/>
  <c r="B37" i="3" l="1"/>
  <c r="B35" i="3"/>
  <c r="J5" i="2"/>
</calcChain>
</file>

<file path=xl/sharedStrings.xml><?xml version="1.0" encoding="utf-8"?>
<sst xmlns="http://schemas.openxmlformats.org/spreadsheetml/2006/main" count="319" uniqueCount="249">
  <si>
    <t>AWS / Cloud and API Cost Tiers</t>
  </si>
  <si>
    <t>Uses the workbook-based Google Maps/API scaling plus POC baseline.</t>
  </si>
  <si>
    <t>Tier</t>
  </si>
  <si>
    <t>Estimated monthly cloud/API cost</t>
  </si>
  <si>
    <t>Active users</t>
  </si>
  <si>
    <t>Cost / active user</t>
  </si>
  <si>
    <t>POC pilot</t>
  </si>
  <si>
    <t>Small internal launch</t>
  </si>
  <si>
    <t>Campus/barangay launch</t>
  </si>
  <si>
    <t>Early city launch</t>
  </si>
  <si>
    <t>Current scenario</t>
  </si>
  <si>
    <t>Dense launch</t>
  </si>
  <si>
    <t>City scale</t>
  </si>
  <si>
    <t>Metro scale stress test</t>
  </si>
  <si>
    <t>E-Ride Operating Model - Inputs</t>
  </si>
  <si>
    <t>Edit yellow cells. Other sheets calculate from these assumptions.</t>
  </si>
  <si>
    <t>Input</t>
  </si>
  <si>
    <t>Value</t>
  </si>
  <si>
    <t>Unit / meaning</t>
  </si>
  <si>
    <t>Notes</t>
  </si>
  <si>
    <t>Recover fleet assets</t>
  </si>
  <si>
    <t>1=yes, 0=no</t>
  </si>
  <si>
    <t>Includes motorcycle + backup-battery amortization</t>
  </si>
  <si>
    <t>Recover development cost</t>
  </si>
  <si>
    <t>Includes build recovery + ongoing dev retainer</t>
  </si>
  <si>
    <t>Recover AWS/cloud/API cost</t>
  </si>
  <si>
    <t>Includes workbook-based cloud/API scaling</t>
  </si>
  <si>
    <t>users/month</t>
  </si>
  <si>
    <t>Monthly transacting users</t>
  </si>
  <si>
    <t>Number of riders / vehicles</t>
  </si>
  <si>
    <t>riders</t>
  </si>
  <si>
    <t>One salaried rider per active vehicle</t>
  </si>
  <si>
    <t>Rides per user / month</t>
  </si>
  <si>
    <t>rides</t>
  </si>
  <si>
    <t>Actual rides per active user per month</t>
  </si>
  <si>
    <t>Rides per rider / day</t>
  </si>
  <si>
    <t>requested rides</t>
  </si>
  <si>
    <t>Capacity target</t>
  </si>
  <si>
    <t>Operating days / month</t>
  </si>
  <si>
    <t>days</t>
  </si>
  <si>
    <t>Monthly operating days</t>
  </si>
  <si>
    <t>Completion rate</t>
  </si>
  <si>
    <t>%</t>
  </si>
  <si>
    <t>Completed rides after cancellations</t>
  </si>
  <si>
    <t>Average paid trip distance</t>
  </si>
  <si>
    <t>km</t>
  </si>
  <si>
    <t>Fare + energy distance</t>
  </si>
  <si>
    <t>Average trip duration</t>
  </si>
  <si>
    <t>minutes</t>
  </si>
  <si>
    <t>Paid trip duration</t>
  </si>
  <si>
    <t>Base fare</t>
  </si>
  <si>
    <t>PHP</t>
  </si>
  <si>
    <t>Includes first 2 km</t>
  </si>
  <si>
    <t>Distance included in base fare</t>
  </si>
  <si>
    <t>Base fare inclusion</t>
  </si>
  <si>
    <t>Charge / km after base</t>
  </si>
  <si>
    <t>PHP/km</t>
  </si>
  <si>
    <t>Through threshold</t>
  </si>
  <si>
    <t>Long-distance threshold</t>
  </si>
  <si>
    <t>Higher rate after this distance</t>
  </si>
  <si>
    <t>Charge / km after threshold</t>
  </si>
  <si>
    <t>Long-distance rate</t>
  </si>
  <si>
    <t>Minutes included in base fare</t>
  </si>
  <si>
    <t>Charge / additional minute</t>
  </si>
  <si>
    <t>PHP/min</t>
  </si>
  <si>
    <t>Planning allowance</t>
  </si>
  <si>
    <t>E-Ride electric discount</t>
  </si>
  <si>
    <t>Discount vs benchmark fare</t>
  </si>
  <si>
    <t>Company share of fare</t>
  </si>
  <si>
    <t>Owned fleet/salaried model</t>
  </si>
  <si>
    <t>Monthly membership / user fee</t>
  </si>
  <si>
    <t>PHP/user</t>
  </si>
  <si>
    <t>Optional recurring revenue</t>
  </si>
  <si>
    <t>Rider daily base wage</t>
  </si>
  <si>
    <t>PHP/day</t>
  </si>
  <si>
    <t>NCR minimum wage planning input</t>
  </si>
  <si>
    <t>Employer burden / benefits</t>
  </si>
  <si>
    <t>Benefits/statutory overhead</t>
  </si>
  <si>
    <t>Daily gross incentive threshold</t>
  </si>
  <si>
    <t>PHP/rider/day</t>
  </si>
  <si>
    <t>Commission begins above this</t>
  </si>
  <si>
    <t>Commission above threshold</t>
  </si>
  <si>
    <t>Driver incentive rate</t>
  </si>
  <si>
    <t>E-motorcycle cost</t>
  </si>
  <si>
    <t>PHP/bike</t>
  </si>
  <si>
    <t>Primary battery included</t>
  </si>
  <si>
    <t>Backup battery cost / bike</t>
  </si>
  <si>
    <t>One backup battery per motorcycle</t>
  </si>
  <si>
    <t>Asset recovery period</t>
  </si>
  <si>
    <t>months</t>
  </si>
  <si>
    <t>Amortization period</t>
  </si>
  <si>
    <t>Maintenance / bike / month</t>
  </si>
  <si>
    <t>PHP/bike/month</t>
  </si>
  <si>
    <t>Service/repairs</t>
  </si>
  <si>
    <t>Insurance and registration / bike / month</t>
  </si>
  <si>
    <t>Monthly provision</t>
  </si>
  <si>
    <t>Energy use</t>
  </si>
  <si>
    <t>kWh/km</t>
  </si>
  <si>
    <t>Replace with telemetry</t>
  </si>
  <si>
    <t>Electricity rate</t>
  </si>
  <si>
    <t>PHP/kWh</t>
  </si>
  <si>
    <t>Blended charging tariff</t>
  </si>
  <si>
    <t>Development build budget</t>
  </si>
  <si>
    <t>Client-facing build budget</t>
  </si>
  <si>
    <t>Development recovery period</t>
  </si>
  <si>
    <t>Six-month work plan</t>
  </si>
  <si>
    <t>Ongoing dev support retainer</t>
  </si>
  <si>
    <t>PHP/month</t>
  </si>
  <si>
    <t>Post-build support</t>
  </si>
  <si>
    <t>POC cloud baseline</t>
  </si>
  <si>
    <t>Developer-confirmed POC/free-tier baseline</t>
  </si>
  <si>
    <t>Operations, support and admin</t>
  </si>
  <si>
    <t>Fixed ops excluding payroll</t>
  </si>
  <si>
    <t>Support cost / active user</t>
  </si>
  <si>
    <t>Variable support</t>
  </si>
  <si>
    <t>Marketing / active user</t>
  </si>
  <si>
    <t>Variable marketing</t>
  </si>
  <si>
    <t>Digital payment share</t>
  </si>
  <si>
    <t>Share paid digitally</t>
  </si>
  <si>
    <t>Payment fee on digital fares</t>
  </si>
  <si>
    <t>Payment fee</t>
  </si>
  <si>
    <t>Tax / regulatory reserve on revenue</t>
  </si>
  <si>
    <t>Planning reserve</t>
  </si>
  <si>
    <t>Scenario Comparison - Wage Coverage and Profitability</t>
  </si>
  <si>
    <t>Current setup versus a profitable utilization case that generates fare revenue well above rider wage cost.</t>
  </si>
  <si>
    <t>Scenario</t>
  </si>
  <si>
    <t>Riders</t>
  </si>
  <si>
    <t>Rides/user/month</t>
  </si>
  <si>
    <t>Requested rides/rider/day</t>
  </si>
  <si>
    <t>Completed rides/rider/day</t>
  </si>
  <si>
    <t>Fare revenue/rider/day</t>
  </si>
  <si>
    <t>Wage cost/rider/day</t>
  </si>
  <si>
    <t>Wage coverage</t>
  </si>
  <si>
    <t>Monthly profit/loss</t>
  </si>
  <si>
    <t>Current setup</t>
  </si>
  <si>
    <t>Profitable utilization case</t>
  </si>
  <si>
    <t>E-Ride Operating Model - Calculations</t>
  </si>
  <si>
    <t>Core deterministic calculation. This is the Excel fallback for the dashboard.</t>
  </si>
  <si>
    <t>Metric</t>
  </si>
  <si>
    <t>Formula / Value</t>
  </si>
  <si>
    <t>Unit</t>
  </si>
  <si>
    <t>Meaning</t>
  </si>
  <si>
    <t>Short distance km</t>
  </si>
  <si>
    <t>Charged at regular per-km rate</t>
  </si>
  <si>
    <t>Long distance km</t>
  </si>
  <si>
    <t>Charged at long-distance rate</t>
  </si>
  <si>
    <t>Charged minutes</t>
  </si>
  <si>
    <t>Charged beyond base minutes</t>
  </si>
  <si>
    <t>Fare before discount</t>
  </si>
  <si>
    <t>PHP/ride</t>
  </si>
  <si>
    <t>Benchmark fare</t>
  </si>
  <si>
    <t>Final passenger fare</t>
  </si>
  <si>
    <t>Passenger fare</t>
  </si>
  <si>
    <t>Requested demand</t>
  </si>
  <si>
    <t>rides/month</t>
  </si>
  <si>
    <t>User demand</t>
  </si>
  <si>
    <t>Requested fleet capacity</t>
  </si>
  <si>
    <t>Fleet capacity</t>
  </si>
  <si>
    <t>Requested served rides</t>
  </si>
  <si>
    <t>Matched rides</t>
  </si>
  <si>
    <t>Completed rides</t>
  </si>
  <si>
    <t>Revenue-generating rides</t>
  </si>
  <si>
    <t>Completed rides / day</t>
  </si>
  <si>
    <t>rides/day</t>
  </si>
  <si>
    <t>Daily completed rides</t>
  </si>
  <si>
    <t>Completed rides / rider / day</t>
  </si>
  <si>
    <t>rides/rider/day</t>
  </si>
  <si>
    <t>Actual utilization</t>
  </si>
  <si>
    <t>Fare revenue</t>
  </si>
  <si>
    <t>Retained fare revenue</t>
  </si>
  <si>
    <t>Membership revenue</t>
  </si>
  <si>
    <t>Optional user fees</t>
  </si>
  <si>
    <t>Total revenue</t>
  </si>
  <si>
    <t>Rider base payroll</t>
  </si>
  <si>
    <t>Wages plus burden</t>
  </si>
  <si>
    <t>Gross fare / rider / day</t>
  </si>
  <si>
    <t>Incentive basis</t>
  </si>
  <si>
    <t>Rider incentives</t>
  </si>
  <si>
    <t>Electricity</t>
  </si>
  <si>
    <t>Charging cost</t>
  </si>
  <si>
    <t>Fleet acquisition / amortization</t>
  </si>
  <si>
    <t>Asset recovery switch</t>
  </si>
  <si>
    <t>Fleet maintenance, insurance, registration</t>
  </si>
  <si>
    <t>Fleet operating cost</t>
  </si>
  <si>
    <t>Development build recovery</t>
  </si>
  <si>
    <t>Build recovery switch</t>
  </si>
  <si>
    <t>Dev support switch</t>
  </si>
  <si>
    <t>Cloud / API cost</t>
  </si>
  <si>
    <t>Cloud recovery switch</t>
  </si>
  <si>
    <t>Fixed + user ops</t>
  </si>
  <si>
    <t>Payment processing</t>
  </si>
  <si>
    <t>Digital payment fee</t>
  </si>
  <si>
    <t>Tax / regulatory reserve</t>
  </si>
  <si>
    <t>Revenue reserve</t>
  </si>
  <si>
    <t>Total cost</t>
  </si>
  <si>
    <t>Total monthly cost</t>
  </si>
  <si>
    <t>Monthly profit / loss</t>
  </si>
  <si>
    <t>Net result</t>
  </si>
  <si>
    <t>Required revenue / active user</t>
  </si>
  <si>
    <t>PHP/user/month</t>
  </si>
  <si>
    <t>Cost to recover per active user</t>
  </si>
  <si>
    <t>Revenue / active user</t>
  </si>
  <si>
    <t>Current revenue per active user</t>
  </si>
  <si>
    <t>Profit / active user</t>
  </si>
  <si>
    <t>Net per active user</t>
  </si>
  <si>
    <t>Cost / completed ride</t>
  </si>
  <si>
    <t>Average cost per ride</t>
  </si>
  <si>
    <t>Profit / completed ride</t>
  </si>
  <si>
    <t>Average profit per ride</t>
  </si>
  <si>
    <t>Fleet utilization</t>
  </si>
  <si>
    <t>Served requested rides / capacity</t>
  </si>
  <si>
    <t>Approx. break-even completed rides/month</t>
  </si>
  <si>
    <t>Approximate target; keeps incentive at current threshold behavior</t>
  </si>
  <si>
    <t>Approx. break-even completed rides/day</t>
  </si>
  <si>
    <t>Daily target</t>
  </si>
  <si>
    <t>Monthly Cost Breakdown</t>
  </si>
  <si>
    <t>Cost lines link directly to Model calculations.</t>
  </si>
  <si>
    <t>Cost category</t>
  </si>
  <si>
    <t>Monthly PHP</t>
  </si>
  <si>
    <t>Share of cost</t>
  </si>
  <si>
    <t>PHP / completed ride</t>
  </si>
  <si>
    <t>Development Budget Allocation</t>
  </si>
  <si>
    <t>Default allocation sums to PHP 1,000,000 and scales with the editable build budget.</t>
  </si>
  <si>
    <t>Role</t>
  </si>
  <si>
    <t>6-month allocation</t>
  </si>
  <si>
    <t>Monthly allocation</t>
  </si>
  <si>
    <t>Share</t>
  </si>
  <si>
    <t>Lead full-stack developer / PM</t>
  </si>
  <si>
    <t>Backend developer</t>
  </si>
  <si>
    <t>Frontend/mobile developer</t>
  </si>
  <si>
    <t>Cloud / DevOps engineer</t>
  </si>
  <si>
    <t>QA and release support</t>
  </si>
  <si>
    <t>Product / client coordination</t>
  </si>
  <si>
    <t>UI/UX and presentation support</t>
  </si>
  <si>
    <t>Total</t>
  </si>
  <si>
    <t>Model Notes</t>
  </si>
  <si>
    <t>Use this workbook if the dashboard is unavailable.</t>
  </si>
  <si>
    <t>Topic</t>
  </si>
  <si>
    <t>Note</t>
  </si>
  <si>
    <t>Purpose</t>
  </si>
  <si>
    <t>Answer how much E-Ride must earn per user and how many completed rides/day are needed to maintain service.</t>
  </si>
  <si>
    <t>Toggles</t>
  </si>
  <si>
    <t>Inputs rows 5-7 control whether fleet assets, development cost, and cloud/API cost are recovered in monthly profit.</t>
  </si>
  <si>
    <t>Cloud basis</t>
  </si>
  <si>
    <t>POC baseline is PHP 1,500. Growth uses 21 days, PHP 58/USD, 10,000 free monthly events per priced API, and per-user daily API ratios from the Dev Costing Foundation workbook.</t>
  </si>
  <si>
    <t>Fare basis</t>
  </si>
  <si>
    <t>Fare follows base + distance + time, then applies the E-Ride electric discount.</t>
  </si>
  <si>
    <t>Break-even caution</t>
  </si>
  <si>
    <t>Break-even rides/day is an approximation because incentives can change once gross fare/rider/day crosses the threshold.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</si>
</sst>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_-[$PHP]\ * #,##0.00_-;\-[$PHP]\ * #,##0.00_-;_-[$PHP]\ * &quot;-&quot;??_-;_-@_-"/>
    <numFmt numFmtId="166" formatCode="0.0\x"/>
  </numFmts>
  <fonts count="8" x14ac:knownFonts="1">
    <font>
      <sz val="11"/>
      <color theme="1"/>
      <name val="Calibri"/>
      <family val="2"/>
      <scheme val="minor"/>
    </font>
    <font>
      <b/>
      <sz val="18"/>
      <color rgb="FF142334"/>
      <name val="Calibri"/>
      <family val="2"/>
    </font>
    <font>
      <sz val="10"/>
      <color rgb="FF607386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8"/>
      <color rgb="FF142334"/>
      <name val="Calibri"/>
      <family val="2"/>
    </font>
    <font>
      <sz val="10"/>
      <color rgb="FF607386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6E5"/>
      </patternFill>
    </fill>
    <fill>
      <patternFill patternType="solid">
        <fgColor rgb="FF142334"/>
      </patternFill>
    </fill>
    <fill>
      <patternFill patternType="solid">
        <fgColor rgb="FF142334"/>
      </patternFill>
    </fill>
  </fills>
  <borders count="3">
    <border>
      <left/>
      <right/>
      <top/>
      <bottom/>
      <diagonal/>
    </border>
    <border>
      <left style="thin">
        <color rgb="FFDCE5ED"/>
      </left>
      <right style="thin">
        <color rgb="FFDCE5ED"/>
      </right>
      <top style="thin">
        <color rgb="FFDCE5ED"/>
      </top>
      <bottom style="thin">
        <color rgb="FFDCE5ED"/>
      </bottom>
      <diagonal/>
    </border>
    <border>
      <left style="thin">
        <color rgb="FFDCE5ED"/>
      </left>
      <right style="thin">
        <color rgb="FFDCE5ED"/>
      </right>
      <top style="thin">
        <color rgb="FFDCE5ED"/>
      </top>
      <bottom style="thin">
        <color rgb="FFDCE5E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4" fontId="0" fillId="2" borderId="1" xfId="0" applyNumberFormat="1" applyFill="1" applyBorder="1" applyAlignment="1">
      <alignment vertical="center"/>
    </xf>
    <xf numFmtId="4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4" fillId="0" borderId="1" xfId="0" applyFont="1" applyBorder="1" applyAlignment="1">
      <alignment vertical="center"/>
    </xf>
    <xf numFmtId="165" fontId="0" fillId="0" borderId="1" xfId="0" applyNumberFormat="1" applyBorder="1" applyAlignment="1">
      <alignment vertical="center"/>
    </xf>
    <xf numFmtId="165" fontId="4" fillId="0" borderId="1" xfId="0" applyNumberFormat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3" fontId="0" fillId="0" borderId="2" xfId="0" applyNumberFormat="1" applyBorder="1" applyAlignment="1">
      <alignment vertical="center"/>
    </xf>
    <xf numFmtId="4" fontId="0" fillId="0" borderId="2" xfId="0" applyNumberFormat="1" applyBorder="1" applyAlignment="1">
      <alignment vertical="center"/>
    </xf>
    <xf numFmtId="166" fontId="0" fillId="0" borderId="2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Monthly profit/loss by scenario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Scenario_Comparison!$J$4</c:f>
              <c:strCache>
                <c:ptCount val="1"/>
                <c:pt idx="0">
                  <c:v>Monthly profit/loss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Scenario_Comparison!$A$5:$A$6</c:f>
              <c:strCache>
                <c:ptCount val="2"/>
                <c:pt idx="0">
                  <c:v>Current setup</c:v>
                </c:pt>
                <c:pt idx="1">
                  <c:v>Profitable utilization case</c:v>
                </c:pt>
              </c:strCache>
            </c:strRef>
          </c:cat>
          <c:val>
            <c:numRef>
              <c:f>Scenario_Comparison!$J$5:$J$6</c:f>
              <c:numCache>
                <c:formatCode>#,##0.00</c:formatCode>
                <c:ptCount val="2"/>
                <c:pt idx="0">
                  <c:v>-432749.44583333354</c:v>
                </c:pt>
                <c:pt idx="1">
                  <c:v>139352.99166666646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27-4AC3-9E48-5B1B120DF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PHP/month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Monthly cost breakdown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Cost_Breakdown!$B$4</c:f>
              <c:strCache>
                <c:ptCount val="1"/>
                <c:pt idx="0">
                  <c:v>Monthly PHP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Cost_Breakdown!$A$5:$A$15</c:f>
              <c:strCache>
                <c:ptCount val="11"/>
                <c:pt idx="0">
                  <c:v>Rider base payroll</c:v>
                </c:pt>
                <c:pt idx="1">
                  <c:v>Rider incentives</c:v>
                </c:pt>
                <c:pt idx="2">
                  <c:v>Electricity</c:v>
                </c:pt>
                <c:pt idx="3">
                  <c:v>Fleet acquisition / amortization</c:v>
                </c:pt>
                <c:pt idx="4">
                  <c:v>Fleet maintenance, insurance, registration</c:v>
                </c:pt>
                <c:pt idx="5">
                  <c:v>Development build recovery</c:v>
                </c:pt>
                <c:pt idx="6">
                  <c:v>Ongoing dev support retainer</c:v>
                </c:pt>
                <c:pt idx="7">
                  <c:v>Cloud / API cost</c:v>
                </c:pt>
                <c:pt idx="8">
                  <c:v>Operations, support and admin</c:v>
                </c:pt>
                <c:pt idx="9">
                  <c:v>Payment processing</c:v>
                </c:pt>
                <c:pt idx="10">
                  <c:v>Tax / regulatory reserve</c:v>
                </c:pt>
              </c:strCache>
            </c:strRef>
          </c:cat>
          <c:val>
            <c:numRef>
              <c:f>Cost_Breakdown!$B$5:$B$15</c:f>
              <c:numCache>
                <c:formatCode>#,##0.00</c:formatCode>
                <c:ptCount val="11"/>
                <c:pt idx="0">
                  <c:v>1039024.9999999999</c:v>
                </c:pt>
                <c:pt idx="1">
                  <c:v>0</c:v>
                </c:pt>
                <c:pt idx="2">
                  <c:v>47385</c:v>
                </c:pt>
                <c:pt idx="3">
                  <c:v>104166.66666666667</c:v>
                </c:pt>
                <c:pt idx="4">
                  <c:v>100000</c:v>
                </c:pt>
                <c:pt idx="5">
                  <c:v>166666.66666666666</c:v>
                </c:pt>
                <c:pt idx="6">
                  <c:v>55000</c:v>
                </c:pt>
                <c:pt idx="7">
                  <c:v>38843.300000000003</c:v>
                </c:pt>
                <c:pt idx="8">
                  <c:v>146250</c:v>
                </c:pt>
                <c:pt idx="9">
                  <c:v>11162.8125</c:v>
                </c:pt>
                <c:pt idx="10">
                  <c:v>38272.5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83-4F8E-8928-34FF0D9A7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PHP/month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Cloud/API cost by user tier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Cloud_Tiers!$B$4</c:f>
              <c:strCache>
                <c:ptCount val="1"/>
                <c:pt idx="0">
                  <c:v>Estimated monthly cloud/API cost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Cloud_Tiers!$C$5:$C$12</c:f>
              <c:numCache>
                <c:formatCode>#,##0</c:formatCode>
                <c:ptCount val="8"/>
                <c:pt idx="0">
                  <c:v>20</c:v>
                </c:pt>
                <c:pt idx="1">
                  <c:v>100</c:v>
                </c:pt>
                <c:pt idx="2">
                  <c:v>500</c:v>
                </c:pt>
                <c:pt idx="3">
                  <c:v>1000</c:v>
                </c:pt>
                <c:pt idx="4">
                  <c:v>3750</c:v>
                </c:pt>
                <c:pt idx="5">
                  <c:v>5000</c:v>
                </c:pt>
                <c:pt idx="6">
                  <c:v>10000</c:v>
                </c:pt>
                <c:pt idx="7">
                  <c:v>25000</c:v>
                </c:pt>
              </c:numCache>
            </c:numRef>
          </c:cat>
          <c:val>
            <c:numRef>
              <c:f>Cloud_Tiers!$B$5:$B$12</c:f>
              <c:numCache>
                <c:formatCode>#,##0.00</c:formatCode>
                <c:ptCount val="8"/>
                <c:pt idx="0">
                  <c:v>1500</c:v>
                </c:pt>
                <c:pt idx="1">
                  <c:v>1582.07</c:v>
                </c:pt>
                <c:pt idx="2">
                  <c:v>15000.95</c:v>
                </c:pt>
                <c:pt idx="3">
                  <c:v>38843.300000000003</c:v>
                </c:pt>
                <c:pt idx="4">
                  <c:v>169976.22499999998</c:v>
                </c:pt>
                <c:pt idx="5">
                  <c:v>229582.09999999998</c:v>
                </c:pt>
                <c:pt idx="6">
                  <c:v>468005.60000000003</c:v>
                </c:pt>
                <c:pt idx="7">
                  <c:v>1183276.1000000001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BE-4042-A93D-CA4D8A750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showGridLines="0" workbookViewId="0">
      <pane ySplit="4" topLeftCell="A5" activePane="bottomLeft" state="frozen"/>
      <selection pane="bottomLeft" activeCell="B13" sqref="B13"/>
    </sheetView>
  </sheetViews>
  <sheetFormatPr defaultRowHeight="14.4" x14ac:dyDescent="0.3"/>
  <cols>
    <col min="1" max="1" width="34" customWidth="1"/>
    <col min="2" max="2" width="18" customWidth="1"/>
    <col min="3" max="3" width="24" customWidth="1"/>
    <col min="4" max="4" width="48" customWidth="1"/>
  </cols>
  <sheetData>
    <row r="1" spans="1:4" ht="23.4" customHeight="1" x14ac:dyDescent="0.3">
      <c r="A1" s="1" t="s">
        <v>14</v>
      </c>
      <c r="B1" s="2"/>
      <c r="C1" s="2"/>
      <c r="D1" s="2"/>
    </row>
    <row r="2" spans="1:4" x14ac:dyDescent="0.3">
      <c r="A2" s="3" t="s">
        <v>15</v>
      </c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4" t="s">
        <v>16</v>
      </c>
      <c r="B4" s="4" t="s">
        <v>17</v>
      </c>
      <c r="C4" s="4" t="s">
        <v>18</v>
      </c>
      <c r="D4" s="4" t="s">
        <v>19</v>
      </c>
    </row>
    <row r="5" spans="1:4" x14ac:dyDescent="0.3">
      <c r="A5" s="2" t="s">
        <v>20</v>
      </c>
      <c r="B5" s="5">
        <v>1</v>
      </c>
      <c r="C5" s="2" t="s">
        <v>21</v>
      </c>
      <c r="D5" s="2" t="s">
        <v>22</v>
      </c>
    </row>
    <row r="6" spans="1:4" x14ac:dyDescent="0.3">
      <c r="A6" s="2" t="s">
        <v>23</v>
      </c>
      <c r="B6" s="5">
        <v>1</v>
      </c>
      <c r="C6" s="2" t="s">
        <v>21</v>
      </c>
      <c r="D6" s="2" t="s">
        <v>24</v>
      </c>
    </row>
    <row r="7" spans="1:4" x14ac:dyDescent="0.3">
      <c r="A7" s="2" t="s">
        <v>25</v>
      </c>
      <c r="B7" s="5">
        <v>1</v>
      </c>
      <c r="C7" s="2" t="s">
        <v>21</v>
      </c>
      <c r="D7" s="2" t="s">
        <v>26</v>
      </c>
    </row>
    <row r="8" spans="1:4" x14ac:dyDescent="0.3">
      <c r="A8" s="2" t="s">
        <v>4</v>
      </c>
      <c r="B8" s="5">
        <v>3750</v>
      </c>
      <c r="C8" s="2" t="s">
        <v>27</v>
      </c>
      <c r="D8" s="2" t="s">
        <v>28</v>
      </c>
    </row>
    <row r="9" spans="1:4" x14ac:dyDescent="0.3">
      <c r="A9" s="2" t="s">
        <v>29</v>
      </c>
      <c r="B9" s="5">
        <v>50</v>
      </c>
      <c r="C9" s="2" t="s">
        <v>30</v>
      </c>
      <c r="D9" s="2" t="s">
        <v>31</v>
      </c>
    </row>
    <row r="10" spans="1:4" x14ac:dyDescent="0.3">
      <c r="A10" s="2" t="s">
        <v>32</v>
      </c>
      <c r="B10" s="5">
        <v>4</v>
      </c>
      <c r="C10" s="2" t="s">
        <v>33</v>
      </c>
      <c r="D10" s="2" t="s">
        <v>34</v>
      </c>
    </row>
    <row r="11" spans="1:4" x14ac:dyDescent="0.3">
      <c r="A11" s="2" t="s">
        <v>35</v>
      </c>
      <c r="B11" s="5">
        <v>15</v>
      </c>
      <c r="C11" s="2" t="s">
        <v>36</v>
      </c>
      <c r="D11" s="2" t="s">
        <v>37</v>
      </c>
    </row>
    <row r="12" spans="1:4" x14ac:dyDescent="0.3">
      <c r="A12" s="2" t="s">
        <v>38</v>
      </c>
      <c r="B12" s="5">
        <v>26</v>
      </c>
      <c r="C12" s="2" t="s">
        <v>39</v>
      </c>
      <c r="D12" s="2" t="s">
        <v>40</v>
      </c>
    </row>
    <row r="13" spans="1:4" x14ac:dyDescent="0.3">
      <c r="A13" s="2" t="s">
        <v>41</v>
      </c>
      <c r="B13" s="5">
        <v>0.9</v>
      </c>
      <c r="C13" s="2" t="s">
        <v>42</v>
      </c>
      <c r="D13" s="2" t="s">
        <v>43</v>
      </c>
    </row>
    <row r="14" spans="1:4" x14ac:dyDescent="0.3">
      <c r="A14" s="2" t="s">
        <v>44</v>
      </c>
      <c r="B14" s="5">
        <v>6</v>
      </c>
      <c r="C14" s="2" t="s">
        <v>45</v>
      </c>
      <c r="D14" s="2" t="s">
        <v>46</v>
      </c>
    </row>
    <row r="15" spans="1:4" x14ac:dyDescent="0.3">
      <c r="A15" s="2" t="s">
        <v>47</v>
      </c>
      <c r="B15" s="5">
        <v>25</v>
      </c>
      <c r="C15" s="2" t="s">
        <v>48</v>
      </c>
      <c r="D15" s="2" t="s">
        <v>49</v>
      </c>
    </row>
    <row r="16" spans="1:4" x14ac:dyDescent="0.3">
      <c r="A16" s="2" t="s">
        <v>50</v>
      </c>
      <c r="B16" s="5">
        <v>50</v>
      </c>
      <c r="C16" s="2" t="s">
        <v>51</v>
      </c>
      <c r="D16" s="2" t="s">
        <v>52</v>
      </c>
    </row>
    <row r="17" spans="1:4" x14ac:dyDescent="0.3">
      <c r="A17" s="2" t="s">
        <v>53</v>
      </c>
      <c r="B17" s="5">
        <v>2</v>
      </c>
      <c r="C17" s="2" t="s">
        <v>45</v>
      </c>
      <c r="D17" s="2" t="s">
        <v>54</v>
      </c>
    </row>
    <row r="18" spans="1:4" x14ac:dyDescent="0.3">
      <c r="A18" s="2" t="s">
        <v>55</v>
      </c>
      <c r="B18" s="5">
        <v>10</v>
      </c>
      <c r="C18" s="2" t="s">
        <v>56</v>
      </c>
      <c r="D18" s="2" t="s">
        <v>57</v>
      </c>
    </row>
    <row r="19" spans="1:4" x14ac:dyDescent="0.3">
      <c r="A19" s="2" t="s">
        <v>58</v>
      </c>
      <c r="B19" s="5">
        <v>7</v>
      </c>
      <c r="C19" s="2" t="s">
        <v>45</v>
      </c>
      <c r="D19" s="2" t="s">
        <v>59</v>
      </c>
    </row>
    <row r="20" spans="1:4" x14ac:dyDescent="0.3">
      <c r="A20" s="2" t="s">
        <v>60</v>
      </c>
      <c r="B20" s="5">
        <v>15</v>
      </c>
      <c r="C20" s="2" t="s">
        <v>56</v>
      </c>
      <c r="D20" s="2" t="s">
        <v>61</v>
      </c>
    </row>
    <row r="21" spans="1:4" x14ac:dyDescent="0.3">
      <c r="A21" s="2" t="s">
        <v>62</v>
      </c>
      <c r="B21" s="5">
        <v>10</v>
      </c>
      <c r="C21" s="2" t="s">
        <v>48</v>
      </c>
      <c r="D21" s="2" t="s">
        <v>54</v>
      </c>
    </row>
    <row r="22" spans="1:4" x14ac:dyDescent="0.3">
      <c r="A22" s="2" t="s">
        <v>63</v>
      </c>
      <c r="B22" s="5">
        <v>1</v>
      </c>
      <c r="C22" s="2" t="s">
        <v>64</v>
      </c>
      <c r="D22" s="2" t="s">
        <v>65</v>
      </c>
    </row>
    <row r="23" spans="1:4" x14ac:dyDescent="0.3">
      <c r="A23" s="2" t="s">
        <v>66</v>
      </c>
      <c r="B23" s="5">
        <v>0.1</v>
      </c>
      <c r="C23" s="2" t="s">
        <v>42</v>
      </c>
      <c r="D23" s="2" t="s">
        <v>67</v>
      </c>
    </row>
    <row r="24" spans="1:4" x14ac:dyDescent="0.3">
      <c r="A24" s="2" t="s">
        <v>68</v>
      </c>
      <c r="B24" s="5">
        <v>1</v>
      </c>
      <c r="C24" s="2" t="s">
        <v>42</v>
      </c>
      <c r="D24" s="2" t="s">
        <v>69</v>
      </c>
    </row>
    <row r="25" spans="1:4" x14ac:dyDescent="0.3">
      <c r="A25" s="2" t="s">
        <v>70</v>
      </c>
      <c r="B25" s="5">
        <v>0</v>
      </c>
      <c r="C25" s="2" t="s">
        <v>71</v>
      </c>
      <c r="D25" s="2" t="s">
        <v>72</v>
      </c>
    </row>
    <row r="26" spans="1:4" x14ac:dyDescent="0.3">
      <c r="A26" s="2" t="s">
        <v>73</v>
      </c>
      <c r="B26" s="5">
        <v>695</v>
      </c>
      <c r="C26" s="2" t="s">
        <v>74</v>
      </c>
      <c r="D26" s="2" t="s">
        <v>75</v>
      </c>
    </row>
    <row r="27" spans="1:4" x14ac:dyDescent="0.3">
      <c r="A27" s="2" t="s">
        <v>76</v>
      </c>
      <c r="B27" s="5">
        <v>0.15</v>
      </c>
      <c r="C27" s="2" t="s">
        <v>42</v>
      </c>
      <c r="D27" s="2" t="s">
        <v>77</v>
      </c>
    </row>
    <row r="28" spans="1:4" x14ac:dyDescent="0.3">
      <c r="A28" s="2" t="s">
        <v>78</v>
      </c>
      <c r="B28" s="5">
        <v>3000</v>
      </c>
      <c r="C28" s="2" t="s">
        <v>79</v>
      </c>
      <c r="D28" s="2" t="s">
        <v>80</v>
      </c>
    </row>
    <row r="29" spans="1:4" x14ac:dyDescent="0.3">
      <c r="A29" s="2" t="s">
        <v>81</v>
      </c>
      <c r="B29" s="5">
        <v>0.2</v>
      </c>
      <c r="C29" s="2" t="s">
        <v>42</v>
      </c>
      <c r="D29" s="2" t="s">
        <v>82</v>
      </c>
    </row>
    <row r="30" spans="1:4" x14ac:dyDescent="0.3">
      <c r="A30" s="2" t="s">
        <v>83</v>
      </c>
      <c r="B30" s="5">
        <v>80000</v>
      </c>
      <c r="C30" s="2" t="s">
        <v>84</v>
      </c>
      <c r="D30" s="2" t="s">
        <v>85</v>
      </c>
    </row>
    <row r="31" spans="1:4" x14ac:dyDescent="0.3">
      <c r="A31" s="2" t="s">
        <v>86</v>
      </c>
      <c r="B31" s="5">
        <v>20000</v>
      </c>
      <c r="C31" s="2" t="s">
        <v>84</v>
      </c>
      <c r="D31" s="2" t="s">
        <v>87</v>
      </c>
    </row>
    <row r="32" spans="1:4" x14ac:dyDescent="0.3">
      <c r="A32" s="2" t="s">
        <v>88</v>
      </c>
      <c r="B32" s="5">
        <v>48</v>
      </c>
      <c r="C32" s="2" t="s">
        <v>89</v>
      </c>
      <c r="D32" s="2" t="s">
        <v>90</v>
      </c>
    </row>
    <row r="33" spans="1:4" x14ac:dyDescent="0.3">
      <c r="A33" s="2" t="s">
        <v>91</v>
      </c>
      <c r="B33" s="5">
        <v>1500</v>
      </c>
      <c r="C33" s="2" t="s">
        <v>92</v>
      </c>
      <c r="D33" s="2" t="s">
        <v>93</v>
      </c>
    </row>
    <row r="34" spans="1:4" x14ac:dyDescent="0.3">
      <c r="A34" s="2" t="s">
        <v>94</v>
      </c>
      <c r="B34" s="5">
        <v>500</v>
      </c>
      <c r="C34" s="2" t="s">
        <v>92</v>
      </c>
      <c r="D34" s="2" t="s">
        <v>95</v>
      </c>
    </row>
    <row r="35" spans="1:4" x14ac:dyDescent="0.3">
      <c r="A35" s="2" t="s">
        <v>96</v>
      </c>
      <c r="B35" s="5">
        <v>4.4999999999999998E-2</v>
      </c>
      <c r="C35" s="2" t="s">
        <v>97</v>
      </c>
      <c r="D35" s="2" t="s">
        <v>98</v>
      </c>
    </row>
    <row r="36" spans="1:4" x14ac:dyDescent="0.3">
      <c r="A36" s="2" t="s">
        <v>99</v>
      </c>
      <c r="B36" s="5">
        <v>13</v>
      </c>
      <c r="C36" s="2" t="s">
        <v>100</v>
      </c>
      <c r="D36" s="2" t="s">
        <v>101</v>
      </c>
    </row>
    <row r="37" spans="1:4" x14ac:dyDescent="0.3">
      <c r="A37" s="2" t="s">
        <v>102</v>
      </c>
      <c r="B37" s="5">
        <v>1000000</v>
      </c>
      <c r="C37" s="2" t="s">
        <v>51</v>
      </c>
      <c r="D37" s="2" t="s">
        <v>103</v>
      </c>
    </row>
    <row r="38" spans="1:4" x14ac:dyDescent="0.3">
      <c r="A38" s="2" t="s">
        <v>104</v>
      </c>
      <c r="B38" s="5">
        <v>6</v>
      </c>
      <c r="C38" s="2" t="s">
        <v>89</v>
      </c>
      <c r="D38" s="2" t="s">
        <v>105</v>
      </c>
    </row>
    <row r="39" spans="1:4" x14ac:dyDescent="0.3">
      <c r="A39" s="2" t="s">
        <v>106</v>
      </c>
      <c r="B39" s="5">
        <v>55000</v>
      </c>
      <c r="C39" s="2" t="s">
        <v>107</v>
      </c>
      <c r="D39" s="2" t="s">
        <v>108</v>
      </c>
    </row>
    <row r="40" spans="1:4" x14ac:dyDescent="0.3">
      <c r="A40" s="2" t="s">
        <v>109</v>
      </c>
      <c r="B40" s="5">
        <v>1500</v>
      </c>
      <c r="C40" s="2" t="s">
        <v>107</v>
      </c>
      <c r="D40" s="2" t="s">
        <v>110</v>
      </c>
    </row>
    <row r="41" spans="1:4" x14ac:dyDescent="0.3">
      <c r="A41" s="2" t="s">
        <v>111</v>
      </c>
      <c r="B41" s="5">
        <v>120000</v>
      </c>
      <c r="C41" s="2" t="s">
        <v>107</v>
      </c>
      <c r="D41" s="2" t="s">
        <v>112</v>
      </c>
    </row>
    <row r="42" spans="1:4" x14ac:dyDescent="0.3">
      <c r="A42" s="2" t="s">
        <v>113</v>
      </c>
      <c r="B42" s="5">
        <v>2</v>
      </c>
      <c r="C42" s="2" t="s">
        <v>71</v>
      </c>
      <c r="D42" s="2" t="s">
        <v>114</v>
      </c>
    </row>
    <row r="43" spans="1:4" x14ac:dyDescent="0.3">
      <c r="A43" s="2" t="s">
        <v>115</v>
      </c>
      <c r="B43" s="5">
        <v>5</v>
      </c>
      <c r="C43" s="2" t="s">
        <v>71</v>
      </c>
      <c r="D43" s="2" t="s">
        <v>116</v>
      </c>
    </row>
    <row r="44" spans="1:4" x14ac:dyDescent="0.3">
      <c r="A44" s="2" t="s">
        <v>117</v>
      </c>
      <c r="B44" s="5">
        <v>0.35</v>
      </c>
      <c r="C44" s="2" t="s">
        <v>42</v>
      </c>
      <c r="D44" s="2" t="s">
        <v>118</v>
      </c>
    </row>
    <row r="45" spans="1:4" x14ac:dyDescent="0.3">
      <c r="A45" s="2" t="s">
        <v>119</v>
      </c>
      <c r="B45" s="5">
        <v>2.5000000000000001E-2</v>
      </c>
      <c r="C45" s="2" t="s">
        <v>42</v>
      </c>
      <c r="D45" s="2" t="s">
        <v>120</v>
      </c>
    </row>
    <row r="46" spans="1:4" x14ac:dyDescent="0.3">
      <c r="A46" s="2" t="s">
        <v>121</v>
      </c>
      <c r="B46" s="5">
        <v>0.03</v>
      </c>
      <c r="C46" s="2" t="s">
        <v>42</v>
      </c>
      <c r="D46" s="2" t="s">
        <v>122</v>
      </c>
    </row>
  </sheetData>
  <pageMargins left="0.75" right="0.75" top="1" bottom="1" header="0.5" footer="0.5"/>
  <headerFooter>
    <oddHeader>&amp;L&amp;"Aptos"&amp;14&amp;KFF0000 *Confidential*&amp;1#_x000D_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showGridLines="0" workbookViewId="0">
      <selection activeCell="E6" sqref="E6"/>
    </sheetView>
  </sheetViews>
  <sheetFormatPr defaultRowHeight="14.4" x14ac:dyDescent="0.3"/>
  <cols>
    <col min="1" max="1" width="32" customWidth="1"/>
    <col min="2" max="2" width="16" customWidth="1"/>
    <col min="3" max="3" width="12" customWidth="1"/>
    <col min="4" max="4" width="20" customWidth="1"/>
    <col min="5" max="7" width="24" customWidth="1"/>
    <col min="8" max="8" width="22" customWidth="1"/>
    <col min="9" max="9" width="16" customWidth="1"/>
    <col min="10" max="10" width="22" customWidth="1"/>
  </cols>
  <sheetData>
    <row r="1" spans="1:10" ht="23.4" x14ac:dyDescent="0.3">
      <c r="A1" s="12" t="s">
        <v>123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x14ac:dyDescent="0.3">
      <c r="A2" s="14" t="s">
        <v>124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x14ac:dyDescent="0.3">
      <c r="A3" s="13"/>
      <c r="B3" s="13"/>
      <c r="C3" s="13"/>
      <c r="D3" s="13"/>
      <c r="E3" s="13"/>
      <c r="F3" s="13"/>
      <c r="G3" s="13"/>
      <c r="H3" s="13"/>
      <c r="I3" s="13"/>
      <c r="J3" s="13"/>
    </row>
    <row r="4" spans="1:10" x14ac:dyDescent="0.3">
      <c r="A4" s="15" t="s">
        <v>125</v>
      </c>
      <c r="B4" s="15" t="s">
        <v>4</v>
      </c>
      <c r="C4" s="15" t="s">
        <v>126</v>
      </c>
      <c r="D4" s="15" t="s">
        <v>127</v>
      </c>
      <c r="E4" s="15" t="s">
        <v>128</v>
      </c>
      <c r="F4" s="15" t="s">
        <v>129</v>
      </c>
      <c r="G4" s="15" t="s">
        <v>130</v>
      </c>
      <c r="H4" s="15" t="s">
        <v>131</v>
      </c>
      <c r="I4" s="15" t="s">
        <v>132</v>
      </c>
      <c r="J4" s="15" t="s">
        <v>133</v>
      </c>
    </row>
    <row r="5" spans="1:10" x14ac:dyDescent="0.3">
      <c r="A5" s="13" t="s">
        <v>134</v>
      </c>
      <c r="B5" s="16">
        <f>Inputs!B8</f>
        <v>3750</v>
      </c>
      <c r="C5" s="16">
        <f>Inputs!B9</f>
        <v>50</v>
      </c>
      <c r="D5" s="17">
        <f>Inputs!B10</f>
        <v>4</v>
      </c>
      <c r="E5" s="17">
        <f>Inputs!B11</f>
        <v>15</v>
      </c>
      <c r="F5" s="17">
        <f>Model!B15</f>
        <v>10.384615384615385</v>
      </c>
      <c r="G5" s="17">
        <f>Model!B20</f>
        <v>981.34615384615381</v>
      </c>
      <c r="H5" s="17">
        <f>Inputs!B26*(1+Inputs!B27)</f>
        <v>799.24999999999989</v>
      </c>
      <c r="I5" s="18">
        <f>G5/H5</f>
        <v>1.2278337864825197</v>
      </c>
      <c r="J5" s="17">
        <f>Model!B32</f>
        <v>-432749.44583333354</v>
      </c>
    </row>
    <row r="6" spans="1:10" x14ac:dyDescent="0.3">
      <c r="A6" s="13" t="s">
        <v>135</v>
      </c>
      <c r="B6" s="16">
        <v>6000</v>
      </c>
      <c r="C6" s="16">
        <v>50</v>
      </c>
      <c r="D6" s="17">
        <v>8</v>
      </c>
      <c r="E6" s="17">
        <v>20</v>
      </c>
      <c r="F6" s="17">
        <f>MIN(B6*D6,C6*E6*Inputs!B12)*Inputs!B13/(C6*Inputs!B12)</f>
        <v>18</v>
      </c>
      <c r="G6" s="17">
        <f>MIN(B6*D6,C6*E6*Inputs!B12)*Inputs!B13*Model!B9/(C6*Inputs!B12)</f>
        <v>1701</v>
      </c>
      <c r="H6" s="17">
        <f>Inputs!B26*(1+Inputs!B27)</f>
        <v>799.24999999999989</v>
      </c>
      <c r="I6" s="18">
        <f>G6/H6</f>
        <v>2.1282452299030346</v>
      </c>
      <c r="J6" s="17">
        <f>((MIN(B6*D6,C6*E6*Inputs!B12)*Inputs!B13)*Model!B9*Inputs!B24 + B6*Inputs!B25) - (C6*Inputs!B26*Inputs!B12*(1+Inputs!B27) + C6*Inputs!B12*MAX(G6-Inputs!B28,0)*Inputs!B29 + (MIN(B6*D6,C6*E6*Inputs!B12)*Inputs!B13)*Inputs!B14*Inputs!B35*Inputs!B36 + IF(Inputs!B5=1,C6*(Inputs!B30+Inputs!B31)/Inputs!B32,0) + C6*(Inputs!B33+Inputs!B34) + IF(Inputs!B6=1,Inputs!B37/Inputs!B38+Inputs!B39,0) + IF(Inputs!B7=1,Inputs!B40+SUM(MAX(B6*21*5-10000,0)/1000*2.83,MAX(B6*21*2-10000,0)/1000*5,MAX(B6*21*1-10000,0)/1000*5,MAX(B6*21*2-10000,0)/1000*5)*58,0) + Inputs!B41+B6*(Inputs!B42+Inputs!B43) + ((MIN(B6*D6,C6*E6*Inputs!B12)*Inputs!B13)*Model!B9*Inputs!B24+B6*Inputs!B25)*Inputs!B44*Inputs!B45 + ((MIN(B6*D6,C6*E6*Inputs!B12)*Inputs!B13)*Model!B9*Inputs!B24+B6*Inputs!B25)*Inputs!B46)</f>
        <v>139352.99166666646</v>
      </c>
    </row>
  </sheetData>
  <pageMargins left="0.75" right="0.75" top="1" bottom="1" header="0.5" footer="0.5"/>
  <headerFooter>
    <oddHeader>&amp;L&amp;"Aptos"&amp;14&amp;KFF0000 *Confidential*&amp;1#_x000D_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0"/>
  <sheetViews>
    <sheetView showGridLines="0" workbookViewId="0">
      <pane ySplit="4" topLeftCell="A5" activePane="bottomLeft" state="frozen"/>
      <selection pane="bottomLeft" activeCell="B37" sqref="B37"/>
    </sheetView>
  </sheetViews>
  <sheetFormatPr defaultRowHeight="14.4" x14ac:dyDescent="0.3"/>
  <cols>
    <col min="1" max="1" width="34" customWidth="1"/>
    <col min="2" max="2" width="18" customWidth="1"/>
    <col min="3" max="3" width="24" customWidth="1"/>
    <col min="4" max="4" width="48" customWidth="1"/>
  </cols>
  <sheetData>
    <row r="1" spans="1:4" ht="23.4" customHeight="1" x14ac:dyDescent="0.3">
      <c r="A1" s="1" t="s">
        <v>136</v>
      </c>
      <c r="B1" s="2"/>
      <c r="C1" s="2"/>
      <c r="D1" s="2"/>
    </row>
    <row r="2" spans="1:4" x14ac:dyDescent="0.3">
      <c r="A2" s="3" t="s">
        <v>137</v>
      </c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4" t="s">
        <v>138</v>
      </c>
      <c r="B4" s="4" t="s">
        <v>139</v>
      </c>
      <c r="C4" s="4" t="s">
        <v>140</v>
      </c>
      <c r="D4" s="4" t="s">
        <v>141</v>
      </c>
    </row>
    <row r="5" spans="1:4" x14ac:dyDescent="0.3">
      <c r="A5" s="2" t="s">
        <v>142</v>
      </c>
      <c r="B5" s="6">
        <f>MIN(MAX(Inputs!B14-Inputs!B17,0),MAX(Inputs!B19-Inputs!B17,0))</f>
        <v>4</v>
      </c>
      <c r="C5" s="2" t="s">
        <v>45</v>
      </c>
      <c r="D5" s="2" t="s">
        <v>143</v>
      </c>
    </row>
    <row r="6" spans="1:4" x14ac:dyDescent="0.3">
      <c r="A6" s="2" t="s">
        <v>144</v>
      </c>
      <c r="B6" s="6">
        <f>MAX(Inputs!B14-Inputs!B19,0)</f>
        <v>0</v>
      </c>
      <c r="C6" s="2" t="s">
        <v>45</v>
      </c>
      <c r="D6" s="2" t="s">
        <v>145</v>
      </c>
    </row>
    <row r="7" spans="1:4" x14ac:dyDescent="0.3">
      <c r="A7" s="2" t="s">
        <v>146</v>
      </c>
      <c r="B7" s="6">
        <f>MAX(Inputs!B15-Inputs!B21,0)</f>
        <v>15</v>
      </c>
      <c r="C7" s="2" t="s">
        <v>48</v>
      </c>
      <c r="D7" s="2" t="s">
        <v>147</v>
      </c>
    </row>
    <row r="8" spans="1:4" x14ac:dyDescent="0.3">
      <c r="A8" s="2" t="s">
        <v>148</v>
      </c>
      <c r="B8" s="6">
        <f>Inputs!B16+B5*Inputs!B18+B6*Inputs!B20+B7*Inputs!B22</f>
        <v>105</v>
      </c>
      <c r="C8" s="2" t="s">
        <v>149</v>
      </c>
      <c r="D8" s="2" t="s">
        <v>150</v>
      </c>
    </row>
    <row r="9" spans="1:4" x14ac:dyDescent="0.3">
      <c r="A9" s="2" t="s">
        <v>151</v>
      </c>
      <c r="B9" s="6">
        <f>B8*(1-Inputs!B23)</f>
        <v>94.5</v>
      </c>
      <c r="C9" s="2" t="s">
        <v>149</v>
      </c>
      <c r="D9" s="2" t="s">
        <v>152</v>
      </c>
    </row>
    <row r="10" spans="1:4" x14ac:dyDescent="0.3">
      <c r="A10" s="2" t="s">
        <v>153</v>
      </c>
      <c r="B10" s="6">
        <f>Inputs!B8*Inputs!B10</f>
        <v>15000</v>
      </c>
      <c r="C10" s="2" t="s">
        <v>154</v>
      </c>
      <c r="D10" s="2" t="s">
        <v>155</v>
      </c>
    </row>
    <row r="11" spans="1:4" x14ac:dyDescent="0.3">
      <c r="A11" s="2" t="s">
        <v>156</v>
      </c>
      <c r="B11" s="6">
        <f>Inputs!B9*Inputs!B11*Inputs!B12</f>
        <v>19500</v>
      </c>
      <c r="C11" s="2" t="s">
        <v>154</v>
      </c>
      <c r="D11" s="2" t="s">
        <v>157</v>
      </c>
    </row>
    <row r="12" spans="1:4" x14ac:dyDescent="0.3">
      <c r="A12" s="2" t="s">
        <v>158</v>
      </c>
      <c r="B12" s="6">
        <f>MIN(B10,B11)</f>
        <v>15000</v>
      </c>
      <c r="C12" s="2" t="s">
        <v>154</v>
      </c>
      <c r="D12" s="2" t="s">
        <v>159</v>
      </c>
    </row>
    <row r="13" spans="1:4" x14ac:dyDescent="0.3">
      <c r="A13" s="2" t="s">
        <v>160</v>
      </c>
      <c r="B13" s="6">
        <f>B12*Inputs!B13</f>
        <v>13500</v>
      </c>
      <c r="C13" s="2" t="s">
        <v>154</v>
      </c>
      <c r="D13" s="2" t="s">
        <v>161</v>
      </c>
    </row>
    <row r="14" spans="1:4" x14ac:dyDescent="0.3">
      <c r="A14" s="2" t="s">
        <v>162</v>
      </c>
      <c r="B14" s="6">
        <f>B13/Inputs!B12</f>
        <v>519.23076923076928</v>
      </c>
      <c r="C14" s="2" t="s">
        <v>163</v>
      </c>
      <c r="D14" s="2" t="s">
        <v>164</v>
      </c>
    </row>
    <row r="15" spans="1:4" x14ac:dyDescent="0.3">
      <c r="A15" s="2" t="s">
        <v>165</v>
      </c>
      <c r="B15" s="6">
        <f>B13/(Inputs!B9*Inputs!B12)</f>
        <v>10.384615384615385</v>
      </c>
      <c r="C15" s="2" t="s">
        <v>166</v>
      </c>
      <c r="D15" s="2" t="s">
        <v>167</v>
      </c>
    </row>
    <row r="16" spans="1:4" x14ac:dyDescent="0.3">
      <c r="A16" s="2" t="s">
        <v>168</v>
      </c>
      <c r="B16" s="6">
        <f>B13*B9*Inputs!B24</f>
        <v>1275750</v>
      </c>
      <c r="C16" s="2" t="s">
        <v>107</v>
      </c>
      <c r="D16" s="2" t="s">
        <v>169</v>
      </c>
    </row>
    <row r="17" spans="1:4" x14ac:dyDescent="0.3">
      <c r="A17" s="2" t="s">
        <v>170</v>
      </c>
      <c r="B17" s="6">
        <f>Inputs!B8*Inputs!B25</f>
        <v>0</v>
      </c>
      <c r="C17" s="2" t="s">
        <v>107</v>
      </c>
      <c r="D17" s="2" t="s">
        <v>171</v>
      </c>
    </row>
    <row r="18" spans="1:4" x14ac:dyDescent="0.3">
      <c r="A18" s="2" t="s">
        <v>172</v>
      </c>
      <c r="B18" s="6">
        <f>B16+B17</f>
        <v>1275750</v>
      </c>
      <c r="C18" s="2" t="s">
        <v>107</v>
      </c>
      <c r="D18" s="2" t="s">
        <v>172</v>
      </c>
    </row>
    <row r="19" spans="1:4" x14ac:dyDescent="0.3">
      <c r="A19" s="2" t="s">
        <v>173</v>
      </c>
      <c r="B19" s="6">
        <f>Inputs!B9*Inputs!B26*Inputs!B12*(1+Inputs!B27)</f>
        <v>1039024.9999999999</v>
      </c>
      <c r="C19" s="2" t="s">
        <v>107</v>
      </c>
      <c r="D19" s="2" t="s">
        <v>174</v>
      </c>
    </row>
    <row r="20" spans="1:4" x14ac:dyDescent="0.3">
      <c r="A20" s="2" t="s">
        <v>175</v>
      </c>
      <c r="B20" s="6">
        <f>(B13*B9)/(Inputs!B9*Inputs!B12)</f>
        <v>981.34615384615381</v>
      </c>
      <c r="C20" s="2" t="s">
        <v>79</v>
      </c>
      <c r="D20" s="2" t="s">
        <v>176</v>
      </c>
    </row>
    <row r="21" spans="1:4" x14ac:dyDescent="0.3">
      <c r="A21" s="2" t="s">
        <v>177</v>
      </c>
      <c r="B21" s="6">
        <f>Inputs!B9*Inputs!B12*MAX(B20-Inputs!B28,0)*Inputs!B29</f>
        <v>0</v>
      </c>
      <c r="C21" s="2" t="s">
        <v>107</v>
      </c>
      <c r="D21" s="2" t="s">
        <v>81</v>
      </c>
    </row>
    <row r="22" spans="1:4" x14ac:dyDescent="0.3">
      <c r="A22" s="2" t="s">
        <v>178</v>
      </c>
      <c r="B22" s="6">
        <f>B13*Inputs!B14*Inputs!B35*Inputs!B36</f>
        <v>47385</v>
      </c>
      <c r="C22" s="2" t="s">
        <v>107</v>
      </c>
      <c r="D22" s="2" t="s">
        <v>179</v>
      </c>
    </row>
    <row r="23" spans="1:4" x14ac:dyDescent="0.3">
      <c r="A23" s="2" t="s">
        <v>180</v>
      </c>
      <c r="B23" s="6">
        <f>IF(Inputs!B5=1,Inputs!B9*(Inputs!B30+Inputs!B31)/Inputs!B32,0)</f>
        <v>104166.66666666667</v>
      </c>
      <c r="C23" s="2" t="s">
        <v>107</v>
      </c>
      <c r="D23" s="2" t="s">
        <v>181</v>
      </c>
    </row>
    <row r="24" spans="1:4" x14ac:dyDescent="0.3">
      <c r="A24" s="2" t="s">
        <v>182</v>
      </c>
      <c r="B24" s="6">
        <f>Inputs!B9*(Inputs!B33+Inputs!B34)</f>
        <v>100000</v>
      </c>
      <c r="C24" s="2" t="s">
        <v>107</v>
      </c>
      <c r="D24" s="2" t="s">
        <v>183</v>
      </c>
    </row>
    <row r="25" spans="1:4" x14ac:dyDescent="0.3">
      <c r="A25" s="2" t="s">
        <v>184</v>
      </c>
      <c r="B25" s="6">
        <f>IF(Inputs!B6=1,Inputs!B37/Inputs!B38,0)</f>
        <v>166666.66666666666</v>
      </c>
      <c r="C25" s="2" t="s">
        <v>107</v>
      </c>
      <c r="D25" s="2" t="s">
        <v>185</v>
      </c>
    </row>
    <row r="26" spans="1:4" x14ac:dyDescent="0.3">
      <c r="A26" s="2" t="s">
        <v>106</v>
      </c>
      <c r="B26" s="6">
        <f>IF(Inputs!B6=1,Inputs!B39,0)</f>
        <v>55000</v>
      </c>
      <c r="C26" s="2" t="s">
        <v>107</v>
      </c>
      <c r="D26" s="2" t="s">
        <v>186</v>
      </c>
    </row>
    <row r="27" spans="1:4" x14ac:dyDescent="0.3">
      <c r="A27" s="2" t="s">
        <v>187</v>
      </c>
      <c r="B27" s="6">
        <f>IF(Inputs!B7=1,Cloud_Tiers!B8,0)</f>
        <v>38843.300000000003</v>
      </c>
      <c r="C27" s="2" t="s">
        <v>107</v>
      </c>
      <c r="D27" s="2" t="s">
        <v>188</v>
      </c>
    </row>
    <row r="28" spans="1:4" x14ac:dyDescent="0.3">
      <c r="A28" s="2" t="s">
        <v>111</v>
      </c>
      <c r="B28" s="6">
        <f>Inputs!B41+Inputs!B8*(Inputs!B42+Inputs!B43)</f>
        <v>146250</v>
      </c>
      <c r="C28" s="2" t="s">
        <v>107</v>
      </c>
      <c r="D28" s="2" t="s">
        <v>189</v>
      </c>
    </row>
    <row r="29" spans="1:4" x14ac:dyDescent="0.3">
      <c r="A29" s="2" t="s">
        <v>190</v>
      </c>
      <c r="B29" s="6">
        <f>B18*Inputs!B44*Inputs!B45</f>
        <v>11162.8125</v>
      </c>
      <c r="C29" s="2" t="s">
        <v>107</v>
      </c>
      <c r="D29" s="2" t="s">
        <v>191</v>
      </c>
    </row>
    <row r="30" spans="1:4" x14ac:dyDescent="0.3">
      <c r="A30" s="2" t="s">
        <v>192</v>
      </c>
      <c r="B30" s="6">
        <f>B18*Inputs!B46</f>
        <v>38272.5</v>
      </c>
      <c r="C30" s="2" t="s">
        <v>107</v>
      </c>
      <c r="D30" s="2" t="s">
        <v>193</v>
      </c>
    </row>
    <row r="31" spans="1:4" x14ac:dyDescent="0.3">
      <c r="A31" s="2" t="s">
        <v>194</v>
      </c>
      <c r="B31" s="6">
        <f>SUM(B19,B21:B29)</f>
        <v>1708499.4458333335</v>
      </c>
      <c r="C31" s="2" t="s">
        <v>107</v>
      </c>
      <c r="D31" s="2" t="s">
        <v>195</v>
      </c>
    </row>
    <row r="32" spans="1:4" x14ac:dyDescent="0.3">
      <c r="A32" s="2" t="s">
        <v>196</v>
      </c>
      <c r="B32" s="6">
        <f>B18-B31</f>
        <v>-432749.44583333354</v>
      </c>
      <c r="C32" s="2" t="s">
        <v>107</v>
      </c>
      <c r="D32" s="2" t="s">
        <v>197</v>
      </c>
    </row>
    <row r="33" spans="1:4" x14ac:dyDescent="0.3">
      <c r="A33" s="2" t="s">
        <v>198</v>
      </c>
      <c r="B33" s="6">
        <f>B31/Inputs!B8</f>
        <v>455.5998522222223</v>
      </c>
      <c r="C33" s="2" t="s">
        <v>199</v>
      </c>
      <c r="D33" s="2" t="s">
        <v>200</v>
      </c>
    </row>
    <row r="34" spans="1:4" x14ac:dyDescent="0.3">
      <c r="A34" s="2" t="s">
        <v>201</v>
      </c>
      <c r="B34" s="6">
        <f>B18/Inputs!B8</f>
        <v>340.2</v>
      </c>
      <c r="C34" s="2" t="s">
        <v>199</v>
      </c>
      <c r="D34" s="2" t="s">
        <v>202</v>
      </c>
    </row>
    <row r="35" spans="1:4" x14ac:dyDescent="0.3">
      <c r="A35" s="2" t="s">
        <v>203</v>
      </c>
      <c r="B35" s="6">
        <f>B32/Inputs!B8</f>
        <v>-115.39985222222228</v>
      </c>
      <c r="C35" s="2" t="s">
        <v>199</v>
      </c>
      <c r="D35" s="2" t="s">
        <v>204</v>
      </c>
    </row>
    <row r="36" spans="1:4" x14ac:dyDescent="0.3">
      <c r="A36" s="2" t="s">
        <v>205</v>
      </c>
      <c r="B36" s="6">
        <f>B31/B13</f>
        <v>126.55551450617286</v>
      </c>
      <c r="C36" s="2" t="s">
        <v>149</v>
      </c>
      <c r="D36" s="2" t="s">
        <v>206</v>
      </c>
    </row>
    <row r="37" spans="1:4" x14ac:dyDescent="0.3">
      <c r="A37" s="2" t="s">
        <v>207</v>
      </c>
      <c r="B37" s="7">
        <f>B32/B13</f>
        <v>-32.055514506172855</v>
      </c>
      <c r="C37" s="2" t="s">
        <v>149</v>
      </c>
      <c r="D37" s="2" t="s">
        <v>208</v>
      </c>
    </row>
    <row r="38" spans="1:4" x14ac:dyDescent="0.3">
      <c r="A38" s="2" t="s">
        <v>209</v>
      </c>
      <c r="B38" s="6">
        <f>B12/B11</f>
        <v>0.76923076923076927</v>
      </c>
      <c r="C38" s="2" t="s">
        <v>42</v>
      </c>
      <c r="D38" s="2" t="s">
        <v>210</v>
      </c>
    </row>
    <row r="39" spans="1:4" x14ac:dyDescent="0.3">
      <c r="A39" s="2" t="s">
        <v>211</v>
      </c>
      <c r="B39" s="6">
        <f>IF((B9*Inputs!B24*(1-Inputs!B44*Inputs!B45-Inputs!B46)-Inputs!B14*Inputs!B35*Inputs!B36)&gt;0,(B19+B21+B23+B24+B25+B26+B27+B28)/(B9*Inputs!B24*(1-Inputs!B44*Inputs!B45-Inputs!B46)-Inputs!B14*Inputs!B35*Inputs!B36),"Check fare")</f>
        <v>18893.702725591938</v>
      </c>
      <c r="C39" s="2" t="s">
        <v>154</v>
      </c>
      <c r="D39" s="2" t="s">
        <v>212</v>
      </c>
    </row>
    <row r="40" spans="1:4" x14ac:dyDescent="0.3">
      <c r="A40" s="2" t="s">
        <v>213</v>
      </c>
      <c r="B40" s="6">
        <f>B39/Inputs!B12</f>
        <v>726.68087406122845</v>
      </c>
      <c r="C40" s="2" t="s">
        <v>163</v>
      </c>
      <c r="D40" s="2" t="s">
        <v>214</v>
      </c>
    </row>
  </sheetData>
  <pageMargins left="0.75" right="0.75" top="1" bottom="1" header="0.5" footer="0.5"/>
  <headerFooter>
    <oddHeader>&amp;L&amp;"Aptos"&amp;14&amp;KFF0000 *Confidential*&amp;1#_x000D_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showGridLines="0" workbookViewId="0">
      <pane ySplit="4" topLeftCell="A5" activePane="bottomLeft" state="frozen"/>
      <selection pane="bottomLeft" activeCell="B5" sqref="B5"/>
    </sheetView>
  </sheetViews>
  <sheetFormatPr defaultRowHeight="14.4" x14ac:dyDescent="0.3"/>
  <cols>
    <col min="1" max="1" width="42" customWidth="1"/>
    <col min="2" max="3" width="18" customWidth="1"/>
    <col min="4" max="4" width="22" customWidth="1"/>
  </cols>
  <sheetData>
    <row r="1" spans="1:4" ht="23.4" customHeight="1" x14ac:dyDescent="0.3">
      <c r="A1" s="1" t="s">
        <v>215</v>
      </c>
      <c r="B1" s="2"/>
      <c r="C1" s="2"/>
      <c r="D1" s="2"/>
    </row>
    <row r="2" spans="1:4" x14ac:dyDescent="0.3">
      <c r="A2" s="3" t="s">
        <v>216</v>
      </c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4" t="s">
        <v>217</v>
      </c>
      <c r="B4" s="4" t="s">
        <v>218</v>
      </c>
      <c r="C4" s="4" t="s">
        <v>219</v>
      </c>
      <c r="D4" s="4" t="s">
        <v>220</v>
      </c>
    </row>
    <row r="5" spans="1:4" x14ac:dyDescent="0.3">
      <c r="A5" s="2" t="s">
        <v>173</v>
      </c>
      <c r="B5" s="6">
        <f>Model!B19</f>
        <v>1039024.9999999999</v>
      </c>
      <c r="C5" s="7">
        <f>B5/Model!B31</f>
        <v>0.60815062160772759</v>
      </c>
      <c r="D5" s="6">
        <f>B5/Model!B13</f>
        <v>76.964814814814801</v>
      </c>
    </row>
    <row r="6" spans="1:4" x14ac:dyDescent="0.3">
      <c r="A6" s="2" t="s">
        <v>177</v>
      </c>
      <c r="B6" s="6">
        <f>Model!B21</f>
        <v>0</v>
      </c>
      <c r="C6" s="7">
        <f>B6/Model!B31</f>
        <v>0</v>
      </c>
      <c r="D6" s="6">
        <f>B6/Model!B13</f>
        <v>0</v>
      </c>
    </row>
    <row r="7" spans="1:4" x14ac:dyDescent="0.3">
      <c r="A7" s="2" t="s">
        <v>178</v>
      </c>
      <c r="B7" s="6">
        <f>Model!B22</f>
        <v>47385</v>
      </c>
      <c r="C7" s="7">
        <f>B7/Model!B31</f>
        <v>2.7734864132125957E-2</v>
      </c>
      <c r="D7" s="6">
        <f>B7/Model!B13</f>
        <v>3.51</v>
      </c>
    </row>
    <row r="8" spans="1:4" x14ac:dyDescent="0.3">
      <c r="A8" s="2" t="s">
        <v>180</v>
      </c>
      <c r="B8" s="6">
        <f>Model!B23</f>
        <v>104166.66666666667</v>
      </c>
      <c r="C8" s="7">
        <f>B8/Model!B31</f>
        <v>6.096968127247978E-2</v>
      </c>
      <c r="D8" s="6">
        <f>B8/Model!B13</f>
        <v>7.7160493827160499</v>
      </c>
    </row>
    <row r="9" spans="1:4" x14ac:dyDescent="0.3">
      <c r="A9" s="2" t="s">
        <v>182</v>
      </c>
      <c r="B9" s="6">
        <f>Model!B24</f>
        <v>100000</v>
      </c>
      <c r="C9" s="7">
        <f>B9/Model!B31</f>
        <v>5.8530894021580585E-2</v>
      </c>
      <c r="D9" s="6">
        <f>B9/Model!B13</f>
        <v>7.4074074074074074</v>
      </c>
    </row>
    <row r="10" spans="1:4" x14ac:dyDescent="0.3">
      <c r="A10" s="2" t="s">
        <v>184</v>
      </c>
      <c r="B10" s="6">
        <f>Model!B25</f>
        <v>166666.66666666666</v>
      </c>
      <c r="C10" s="7">
        <f>B10/Model!B31</f>
        <v>9.7551490035967636E-2</v>
      </c>
      <c r="D10" s="6">
        <f>B10/Model!B13</f>
        <v>12.345679012345679</v>
      </c>
    </row>
    <row r="11" spans="1:4" x14ac:dyDescent="0.3">
      <c r="A11" s="2" t="s">
        <v>106</v>
      </c>
      <c r="B11" s="6">
        <f>Model!B26</f>
        <v>55000</v>
      </c>
      <c r="C11" s="7">
        <f>B11/Model!B31</f>
        <v>3.2191991711869324E-2</v>
      </c>
      <c r="D11" s="6">
        <f>B11/Model!B13</f>
        <v>4.0740740740740744</v>
      </c>
    </row>
    <row r="12" spans="1:4" x14ac:dyDescent="0.3">
      <c r="A12" s="2" t="s">
        <v>187</v>
      </c>
      <c r="B12" s="6">
        <f>Model!B27</f>
        <v>38843.300000000003</v>
      </c>
      <c r="C12" s="7">
        <f>B12/Model!B31</f>
        <v>2.2735330757484611E-2</v>
      </c>
      <c r="D12" s="6">
        <f>B12/Model!B13</f>
        <v>2.8772814814814818</v>
      </c>
    </row>
    <row r="13" spans="1:4" x14ac:dyDescent="0.3">
      <c r="A13" s="2" t="s">
        <v>111</v>
      </c>
      <c r="B13" s="6">
        <f>Model!B28</f>
        <v>146250</v>
      </c>
      <c r="C13" s="7">
        <f>B13/Model!B31</f>
        <v>8.5601432506561603E-2</v>
      </c>
      <c r="D13" s="6">
        <f>B13/Model!B13</f>
        <v>10.833333333333334</v>
      </c>
    </row>
    <row r="14" spans="1:4" x14ac:dyDescent="0.3">
      <c r="A14" s="2" t="s">
        <v>190</v>
      </c>
      <c r="B14" s="6">
        <f>Model!B29</f>
        <v>11162.8125</v>
      </c>
      <c r="C14" s="7">
        <f>B14/Model!B31</f>
        <v>6.5336939542027499E-3</v>
      </c>
      <c r="D14" s="6">
        <f>B14/Model!B13</f>
        <v>0.82687500000000003</v>
      </c>
    </row>
    <row r="15" spans="1:4" x14ac:dyDescent="0.3">
      <c r="A15" s="2" t="s">
        <v>192</v>
      </c>
      <c r="B15" s="6">
        <f>Model!B30</f>
        <v>38272.5</v>
      </c>
      <c r="C15" s="7">
        <f>B15/Model!B31</f>
        <v>2.2401236414409428E-2</v>
      </c>
      <c r="D15" s="6">
        <f>B15/Model!B13</f>
        <v>2.835</v>
      </c>
    </row>
  </sheetData>
  <pageMargins left="0.75" right="0.75" top="1" bottom="1" header="0.5" footer="0.5"/>
  <headerFooter>
    <oddHeader>&amp;L&amp;"Aptos"&amp;14&amp;KFF0000 *Confidential*&amp;1#_x000D_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30" customWidth="1"/>
    <col min="2" max="2" width="24" customWidth="1"/>
    <col min="3" max="3" width="18" customWidth="1"/>
    <col min="4" max="4" width="20" customWidth="1"/>
  </cols>
  <sheetData>
    <row r="1" spans="1:4" ht="23.4" customHeight="1" x14ac:dyDescent="0.3">
      <c r="A1" s="1" t="s">
        <v>0</v>
      </c>
      <c r="B1" s="2"/>
      <c r="C1" s="2"/>
      <c r="D1" s="2"/>
    </row>
    <row r="2" spans="1:4" x14ac:dyDescent="0.3">
      <c r="A2" s="3" t="s">
        <v>1</v>
      </c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4" t="s">
        <v>2</v>
      </c>
      <c r="B4" s="4" t="s">
        <v>3</v>
      </c>
      <c r="C4" s="4" t="s">
        <v>4</v>
      </c>
      <c r="D4" s="4" t="s">
        <v>5</v>
      </c>
    </row>
    <row r="5" spans="1:4" x14ac:dyDescent="0.3">
      <c r="A5" s="2" t="s">
        <v>6</v>
      </c>
      <c r="B5" s="6">
        <f>Inputs!B40+SUM(MAX(C5*21*5-10000,0)/1000*2.83,MAX(C5*21*2-10000,0)/1000*5,MAX(C5*21*1-10000,0)/1000*5,MAX(C5*21*2-10000,0)/1000*5)*58</f>
        <v>1500</v>
      </c>
      <c r="C5" s="8">
        <v>20</v>
      </c>
      <c r="D5" s="6">
        <f t="shared" ref="D5:D12" si="0">B5/C5</f>
        <v>75</v>
      </c>
    </row>
    <row r="6" spans="1:4" x14ac:dyDescent="0.3">
      <c r="A6" s="2" t="s">
        <v>7</v>
      </c>
      <c r="B6" s="6">
        <f>Inputs!B40+SUM(MAX(C6*21*5-10000,0)/1000*2.83,MAX(C6*21*2-10000,0)/1000*5,MAX(C6*21*1-10000,0)/1000*5,MAX(C6*21*2-10000,0)/1000*5)*58</f>
        <v>1582.07</v>
      </c>
      <c r="C6" s="8">
        <v>100</v>
      </c>
      <c r="D6" s="6">
        <f t="shared" si="0"/>
        <v>15.820699999999999</v>
      </c>
    </row>
    <row r="7" spans="1:4" x14ac:dyDescent="0.3">
      <c r="A7" s="2" t="s">
        <v>8</v>
      </c>
      <c r="B7" s="6">
        <f>Inputs!B40+SUM(MAX(C7*21*5-10000,0)/1000*2.83,MAX(C7*21*2-10000,0)/1000*5,MAX(C7*21*1-10000,0)/1000*5,MAX(C7*21*2-10000,0)/1000*5)*58</f>
        <v>15000.95</v>
      </c>
      <c r="C7" s="8">
        <v>500</v>
      </c>
      <c r="D7" s="6">
        <f t="shared" si="0"/>
        <v>30.001900000000003</v>
      </c>
    </row>
    <row r="8" spans="1:4" x14ac:dyDescent="0.3">
      <c r="A8" s="2" t="s">
        <v>9</v>
      </c>
      <c r="B8" s="6">
        <f>Inputs!B40+SUM(MAX(C8*21*5-10000,0)/1000*2.83,MAX(C8*21*2-10000,0)/1000*5,MAX(C8*21*1-10000,0)/1000*5,MAX(C8*21*2-10000,0)/1000*5)*58</f>
        <v>38843.300000000003</v>
      </c>
      <c r="C8" s="8">
        <v>1000</v>
      </c>
      <c r="D8" s="6">
        <f t="shared" si="0"/>
        <v>38.843300000000006</v>
      </c>
    </row>
    <row r="9" spans="1:4" x14ac:dyDescent="0.3">
      <c r="A9" s="2" t="s">
        <v>10</v>
      </c>
      <c r="B9" s="6">
        <f>Inputs!B40+SUM(MAX(C9*21*5-10000,0)/1000*2.83,MAX(C9*21*2-10000,0)/1000*5,MAX(C9*21*1-10000,0)/1000*5,MAX(C9*21*2-10000,0)/1000*5)*58</f>
        <v>169976.22499999998</v>
      </c>
      <c r="C9" s="8">
        <f>Inputs!B8</f>
        <v>3750</v>
      </c>
      <c r="D9" s="6">
        <f t="shared" si="0"/>
        <v>45.326993333333327</v>
      </c>
    </row>
    <row r="10" spans="1:4" x14ac:dyDescent="0.3">
      <c r="A10" s="2" t="s">
        <v>11</v>
      </c>
      <c r="B10" s="6">
        <f>Inputs!B40+SUM(MAX(C10*21*5-10000,0)/1000*2.83,MAX(C10*21*2-10000,0)/1000*5,MAX(C10*21*1-10000,0)/1000*5,MAX(C10*21*2-10000,0)/1000*5)*58</f>
        <v>229582.09999999998</v>
      </c>
      <c r="C10" s="8">
        <v>5000</v>
      </c>
      <c r="D10" s="6">
        <f t="shared" si="0"/>
        <v>45.916419999999995</v>
      </c>
    </row>
    <row r="11" spans="1:4" x14ac:dyDescent="0.3">
      <c r="A11" s="2" t="s">
        <v>12</v>
      </c>
      <c r="B11" s="6">
        <f>Inputs!B40+SUM(MAX(C11*21*5-10000,0)/1000*2.83,MAX(C11*21*2-10000,0)/1000*5,MAX(C11*21*1-10000,0)/1000*5,MAX(C11*21*2-10000,0)/1000*5)*58</f>
        <v>468005.60000000003</v>
      </c>
      <c r="C11" s="8">
        <v>10000</v>
      </c>
      <c r="D11" s="6">
        <f t="shared" si="0"/>
        <v>46.800560000000004</v>
      </c>
    </row>
    <row r="12" spans="1:4" x14ac:dyDescent="0.3">
      <c r="A12" s="2" t="s">
        <v>13</v>
      </c>
      <c r="B12" s="6">
        <f>Inputs!B40+SUM(MAX(C12*21*5-10000,0)/1000*2.83,MAX(C12*21*2-10000,0)/1000*5,MAX(C12*21*1-10000,0)/1000*5,MAX(C12*21*2-10000,0)/1000*5)*58</f>
        <v>1183276.1000000001</v>
      </c>
      <c r="C12" s="8">
        <v>25000</v>
      </c>
      <c r="D12" s="6">
        <f t="shared" si="0"/>
        <v>47.331044000000006</v>
      </c>
    </row>
  </sheetData>
  <pageMargins left="0.75" right="0.75" top="1" bottom="1" header="0.5" footer="0.5"/>
  <headerFooter>
    <oddHeader>&amp;L&amp;"Aptos"&amp;14&amp;KFF0000 *Confidential*&amp;1#_x000D_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showGridLines="0" tabSelected="1" workbookViewId="0">
      <pane ySplit="4" topLeftCell="A5" activePane="bottomLeft" state="frozen"/>
      <selection pane="bottomLeft" activeCell="B14" sqref="B14"/>
    </sheetView>
  </sheetViews>
  <sheetFormatPr defaultRowHeight="14.4" x14ac:dyDescent="0.3"/>
  <cols>
    <col min="1" max="1" width="38" customWidth="1"/>
    <col min="2" max="3" width="22" customWidth="1"/>
    <col min="4" max="4" width="16" customWidth="1"/>
  </cols>
  <sheetData>
    <row r="1" spans="1:4" ht="23.4" customHeight="1" x14ac:dyDescent="0.3">
      <c r="A1" s="1" t="s">
        <v>221</v>
      </c>
      <c r="B1" s="2"/>
      <c r="C1" s="2"/>
      <c r="D1" s="2"/>
    </row>
    <row r="2" spans="1:4" x14ac:dyDescent="0.3">
      <c r="A2" s="3" t="s">
        <v>222</v>
      </c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4" t="s">
        <v>223</v>
      </c>
      <c r="B4" s="4" t="s">
        <v>224</v>
      </c>
      <c r="C4" s="4" t="s">
        <v>225</v>
      </c>
      <c r="D4" s="4" t="s">
        <v>226</v>
      </c>
    </row>
    <row r="5" spans="1:4" x14ac:dyDescent="0.3">
      <c r="A5" s="2" t="s">
        <v>227</v>
      </c>
      <c r="B5" s="10">
        <f>330000/1000000*Inputs!B37</f>
        <v>330000</v>
      </c>
      <c r="C5" s="10">
        <f t="shared" ref="C5:C11" si="0">B5/6</f>
        <v>55000</v>
      </c>
      <c r="D5" s="7">
        <f t="shared" ref="D5:D11" si="1">B5/SUM($B$5:$B$11)</f>
        <v>0.33</v>
      </c>
    </row>
    <row r="6" spans="1:4" x14ac:dyDescent="0.3">
      <c r="A6" s="2" t="s">
        <v>228</v>
      </c>
      <c r="B6" s="10">
        <f>180000/1000000*Inputs!B37</f>
        <v>180000</v>
      </c>
      <c r="C6" s="10">
        <f t="shared" si="0"/>
        <v>30000</v>
      </c>
      <c r="D6" s="7">
        <f t="shared" si="1"/>
        <v>0.18</v>
      </c>
    </row>
    <row r="7" spans="1:4" x14ac:dyDescent="0.3">
      <c r="A7" s="2" t="s">
        <v>229</v>
      </c>
      <c r="B7" s="10">
        <f>140000/1000000*Inputs!B37</f>
        <v>140000</v>
      </c>
      <c r="C7" s="10">
        <f t="shared" si="0"/>
        <v>23333.333333333332</v>
      </c>
      <c r="D7" s="7">
        <f t="shared" si="1"/>
        <v>0.14000000000000001</v>
      </c>
    </row>
    <row r="8" spans="1:4" x14ac:dyDescent="0.3">
      <c r="A8" s="2" t="s">
        <v>230</v>
      </c>
      <c r="B8" s="10">
        <f>120000/1000000*Inputs!B37</f>
        <v>120000</v>
      </c>
      <c r="C8" s="10">
        <f t="shared" si="0"/>
        <v>20000</v>
      </c>
      <c r="D8" s="7">
        <f t="shared" si="1"/>
        <v>0.12</v>
      </c>
    </row>
    <row r="9" spans="1:4" x14ac:dyDescent="0.3">
      <c r="A9" s="2" t="s">
        <v>231</v>
      </c>
      <c r="B9" s="10">
        <f>90000/1000000*Inputs!B37</f>
        <v>90000</v>
      </c>
      <c r="C9" s="10">
        <f t="shared" si="0"/>
        <v>15000</v>
      </c>
      <c r="D9" s="7">
        <f t="shared" si="1"/>
        <v>0.09</v>
      </c>
    </row>
    <row r="10" spans="1:4" x14ac:dyDescent="0.3">
      <c r="A10" s="2" t="s">
        <v>232</v>
      </c>
      <c r="B10" s="10">
        <f>80000/1000000*Inputs!B37</f>
        <v>80000</v>
      </c>
      <c r="C10" s="10">
        <f t="shared" si="0"/>
        <v>13333.333333333334</v>
      </c>
      <c r="D10" s="7">
        <f t="shared" si="1"/>
        <v>0.08</v>
      </c>
    </row>
    <row r="11" spans="1:4" x14ac:dyDescent="0.3">
      <c r="A11" s="2" t="s">
        <v>233</v>
      </c>
      <c r="B11" s="10">
        <f>60000/1000000*Inputs!B37</f>
        <v>60000</v>
      </c>
      <c r="C11" s="10">
        <f t="shared" si="0"/>
        <v>10000</v>
      </c>
      <c r="D11" s="7">
        <f t="shared" si="1"/>
        <v>0.06</v>
      </c>
    </row>
    <row r="12" spans="1:4" x14ac:dyDescent="0.3">
      <c r="A12" s="9" t="s">
        <v>234</v>
      </c>
      <c r="B12" s="11">
        <f>SUM(B5:B11)</f>
        <v>1000000</v>
      </c>
      <c r="C12" s="11">
        <f>SUM(C5:C11)</f>
        <v>166666.66666666666</v>
      </c>
      <c r="D12" s="9">
        <f>SUM(D5:D11)</f>
        <v>1</v>
      </c>
    </row>
  </sheetData>
  <pageMargins left="0.75" right="0.75" top="1" bottom="1" header="0.5" footer="0.5"/>
  <headerFooter>
    <oddHeader>&amp;L&amp;"Aptos"&amp;14&amp;KFF0000 *Confidential*&amp;1#_x000D_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34" customWidth="1"/>
    <col min="2" max="2" width="90" customWidth="1"/>
    <col min="3" max="4" width="18" customWidth="1"/>
  </cols>
  <sheetData>
    <row r="1" spans="1:2" ht="23.4" customHeight="1" x14ac:dyDescent="0.3">
      <c r="A1" s="1" t="s">
        <v>235</v>
      </c>
      <c r="B1" s="2"/>
    </row>
    <row r="2" spans="1:2" x14ac:dyDescent="0.3">
      <c r="A2" s="3" t="s">
        <v>236</v>
      </c>
      <c r="B2" s="2"/>
    </row>
    <row r="3" spans="1:2" x14ac:dyDescent="0.3">
      <c r="A3" s="2"/>
      <c r="B3" s="2"/>
    </row>
    <row r="4" spans="1:2" x14ac:dyDescent="0.3">
      <c r="A4" s="4" t="s">
        <v>237</v>
      </c>
      <c r="B4" s="4" t="s">
        <v>238</v>
      </c>
    </row>
    <row r="5" spans="1:2" x14ac:dyDescent="0.3">
      <c r="A5" s="2" t="s">
        <v>239</v>
      </c>
      <c r="B5" s="2" t="s">
        <v>240</v>
      </c>
    </row>
    <row r="6" spans="1:2" x14ac:dyDescent="0.3">
      <c r="A6" s="2" t="s">
        <v>241</v>
      </c>
      <c r="B6" s="2" t="s">
        <v>242</v>
      </c>
    </row>
    <row r="7" spans="1:2" x14ac:dyDescent="0.3">
      <c r="A7" s="2" t="s">
        <v>243</v>
      </c>
      <c r="B7" s="2" t="s">
        <v>244</v>
      </c>
    </row>
    <row r="8" spans="1:2" x14ac:dyDescent="0.3">
      <c r="A8" s="2" t="s">
        <v>245</v>
      </c>
      <c r="B8" s="2" t="s">
        <v>246</v>
      </c>
    </row>
    <row r="9" spans="1:2" x14ac:dyDescent="0.3">
      <c r="A9" s="2" t="s">
        <v>247</v>
      </c>
      <c r="B9" s="2" t="s">
        <v>248</v>
      </c>
    </row>
  </sheetData>
  <pageMargins left="0.75" right="0.75" top="1" bottom="1" header="0.5" footer="0.5"/>
  <headerFooter>
    <oddHeader>&amp;L&amp;"Aptos"&amp;14&amp;KFF0000 *Confidential*&amp;1#_x000D_</oddHeader>
  </headerFooter>
</worksheet>
</file>

<file path=docMetadata/LabelInfo.xml><?xml version="1.0" encoding="utf-8"?>
<clbl:labelList xmlns:clbl="http://schemas.microsoft.com/office/2020/mipLabelMetadata">
  <clbl:label id="{6bfbc6ff-8a14-4b4e-8fd3-68c560b40257}" enabled="1" method="Privileged" siteId="{c7e8b5ac-96c6-4123-a65a-793543aced4d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Inputs</vt:lpstr>
      <vt:lpstr>Scenario_Comparison</vt:lpstr>
      <vt:lpstr>Model</vt:lpstr>
      <vt:lpstr>Cost_Breakdown</vt:lpstr>
      <vt:lpstr>Cloud_Tiers</vt:lpstr>
      <vt:lpstr>Dev_Budget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Crizepvill F. Dumalaog</cp:lastModifiedBy>
  <dcterms:created xsi:type="dcterms:W3CDTF">2026-07-10T00:42:41Z</dcterms:created>
  <dcterms:modified xsi:type="dcterms:W3CDTF">2026-07-10T01:10:35Z</dcterms:modified>
</cp:coreProperties>
</file>