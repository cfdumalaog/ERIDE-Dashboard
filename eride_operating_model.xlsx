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Model" sheetId="2" state="visible" r:id="rId2"/>
    <sheet xmlns:r="http://schemas.openxmlformats.org/officeDocument/2006/relationships" name="Cost_Breakdown" sheetId="3" state="visible" r:id="rId3"/>
    <sheet xmlns:r="http://schemas.openxmlformats.org/officeDocument/2006/relationships" name="Cloud_Tiers" sheetId="4" state="visible" r:id="rId4"/>
    <sheet xmlns:r="http://schemas.openxmlformats.org/officeDocument/2006/relationships" name="Dev_Budget" sheetId="5" state="visible" r:id="rId5"/>
    <sheet xmlns:r="http://schemas.openxmlformats.org/officeDocument/2006/relationships" name="Notes" sheetId="6" state="visible" r:id="rId6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42334"/>
      <sz val="18"/>
    </font>
    <font>
      <color rgb="00607386"/>
      <sz val="10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FFF6E5"/>
      </patternFill>
    </fill>
    <fill>
      <patternFill patternType="solid">
        <fgColor rgb="00142334"/>
      </patternFill>
    </fill>
  </fills>
  <borders count="2">
    <border>
      <left/>
      <right/>
      <top/>
      <bottom/>
      <diagonal/>
    </border>
    <border>
      <left style="thin">
        <color rgb="00DCE5ED"/>
      </left>
      <right style="thin">
        <color rgb="00DCE5ED"/>
      </right>
      <top style="thin">
        <color rgb="00DCE5ED"/>
      </top>
      <bottom style="thin">
        <color rgb="00DCE5E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4" fontId="0" fillId="2" borderId="1" applyAlignment="1" pivotButton="0" quotePrefix="0" xfId="0">
      <alignment vertical="center"/>
    </xf>
    <xf numFmtId="4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cost breakdown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'Cost_Breakdown'!B4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'Cost_Breakdown'!$A$5:$A$15</f>
            </numRef>
          </cat>
          <val>
            <numRef>
              <f>'Cost_Breakdown'!$B$5:$B$15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PHP/month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Cloud/API cost by user tier</a:t>
            </a:r>
          </a:p>
        </rich>
      </tx>
    </title>
    <plotArea>
      <lineChart>
        <grouping val="standard"/>
        <ser>
          <idx val="0"/>
          <order val="0"/>
          <tx>
            <strRef>
              <f>'Cloud_Tiers'!B4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'Cloud_Tiers'!$C$5:$C$12</f>
            </numRef>
          </cat>
          <val>
            <numRef>
              <f>'Cloud_Tiers'!$B$5:$B$12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24" customWidth="1" min="3" max="3"/>
    <col width="48" customWidth="1" min="4" max="4"/>
  </cols>
  <sheetData>
    <row r="1">
      <c r="A1" s="1" t="inlineStr">
        <is>
          <t>E-Ride Operating Model - Inputs</t>
        </is>
      </c>
      <c r="B1" s="2" t="n"/>
      <c r="C1" s="2" t="n"/>
      <c r="D1" s="2" t="n"/>
    </row>
    <row r="2">
      <c r="A2" s="3" t="inlineStr">
        <is>
          <t>Edit yellow cells. Other sheets calculate from these assumptions.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4" t="inlineStr">
        <is>
          <t>Input</t>
        </is>
      </c>
      <c r="B4" s="4" t="inlineStr">
        <is>
          <t>Value</t>
        </is>
      </c>
      <c r="C4" s="4" t="inlineStr">
        <is>
          <t>Unit / meaning</t>
        </is>
      </c>
      <c r="D4" s="4" t="inlineStr">
        <is>
          <t>Notes</t>
        </is>
      </c>
    </row>
    <row r="5">
      <c r="A5" s="2" t="inlineStr">
        <is>
          <t>Recover fleet assets</t>
        </is>
      </c>
      <c r="B5" s="5" t="n">
        <v>1</v>
      </c>
      <c r="C5" s="2" t="inlineStr">
        <is>
          <t>1=yes, 0=no</t>
        </is>
      </c>
      <c r="D5" s="2" t="inlineStr">
        <is>
          <t>Includes motorcycle + backup-battery amortization</t>
        </is>
      </c>
    </row>
    <row r="6">
      <c r="A6" s="2" t="inlineStr">
        <is>
          <t>Recover development cost</t>
        </is>
      </c>
      <c r="B6" s="5" t="n">
        <v>1</v>
      </c>
      <c r="C6" s="2" t="inlineStr">
        <is>
          <t>1=yes, 0=no</t>
        </is>
      </c>
      <c r="D6" s="2" t="inlineStr">
        <is>
          <t>Includes build recovery + ongoing dev retainer</t>
        </is>
      </c>
    </row>
    <row r="7">
      <c r="A7" s="2" t="inlineStr">
        <is>
          <t>Recover AWS/cloud/API cost</t>
        </is>
      </c>
      <c r="B7" s="5" t="n">
        <v>1</v>
      </c>
      <c r="C7" s="2" t="inlineStr">
        <is>
          <t>1=yes, 0=no</t>
        </is>
      </c>
      <c r="D7" s="2" t="inlineStr">
        <is>
          <t>Includes workbook-based cloud/API scaling</t>
        </is>
      </c>
    </row>
    <row r="8">
      <c r="A8" s="2" t="inlineStr">
        <is>
          <t>Active users</t>
        </is>
      </c>
      <c r="B8" s="5" t="n">
        <v>3750</v>
      </c>
      <c r="C8" s="2" t="inlineStr">
        <is>
          <t>users/month</t>
        </is>
      </c>
      <c r="D8" s="2" t="inlineStr">
        <is>
          <t>Monthly transacting users</t>
        </is>
      </c>
    </row>
    <row r="9">
      <c r="A9" s="2" t="inlineStr">
        <is>
          <t>Number of riders / vehicles</t>
        </is>
      </c>
      <c r="B9" s="5" t="n">
        <v>50</v>
      </c>
      <c r="C9" s="2" t="inlineStr">
        <is>
          <t>riders</t>
        </is>
      </c>
      <c r="D9" s="2" t="inlineStr">
        <is>
          <t>One salaried rider per active vehicle</t>
        </is>
      </c>
    </row>
    <row r="10">
      <c r="A10" s="2" t="inlineStr">
        <is>
          <t>Rides per user / month</t>
        </is>
      </c>
      <c r="B10" s="5" t="n">
        <v>4</v>
      </c>
      <c r="C10" s="2" t="inlineStr">
        <is>
          <t>rides</t>
        </is>
      </c>
      <c r="D10" s="2" t="inlineStr">
        <is>
          <t>Actual rides per active user per month</t>
        </is>
      </c>
    </row>
    <row r="11">
      <c r="A11" s="2" t="inlineStr">
        <is>
          <t>Rides per rider / day</t>
        </is>
      </c>
      <c r="B11" s="5" t="n">
        <v>10</v>
      </c>
      <c r="C11" s="2" t="inlineStr">
        <is>
          <t>requested rides</t>
        </is>
      </c>
      <c r="D11" s="2" t="inlineStr">
        <is>
          <t>Capacity target</t>
        </is>
      </c>
    </row>
    <row r="12">
      <c r="A12" s="2" t="inlineStr">
        <is>
          <t>Operating days / month</t>
        </is>
      </c>
      <c r="B12" s="5" t="n">
        <v>26</v>
      </c>
      <c r="C12" s="2" t="inlineStr">
        <is>
          <t>days</t>
        </is>
      </c>
      <c r="D12" s="2" t="inlineStr">
        <is>
          <t>Monthly operating days</t>
        </is>
      </c>
    </row>
    <row r="13">
      <c r="A13" s="2" t="inlineStr">
        <is>
          <t>Completion rate</t>
        </is>
      </c>
      <c r="B13" s="5" t="n">
        <v>0.9</v>
      </c>
      <c r="C13" s="2" t="inlineStr">
        <is>
          <t>%</t>
        </is>
      </c>
      <c r="D13" s="2" t="inlineStr">
        <is>
          <t>Completed rides after cancellations</t>
        </is>
      </c>
    </row>
    <row r="14">
      <c r="A14" s="2" t="inlineStr">
        <is>
          <t>Average paid trip distance</t>
        </is>
      </c>
      <c r="B14" s="5" t="n">
        <v>6</v>
      </c>
      <c r="C14" s="2" t="inlineStr">
        <is>
          <t>km</t>
        </is>
      </c>
      <c r="D14" s="2" t="inlineStr">
        <is>
          <t>Fare + energy distance</t>
        </is>
      </c>
    </row>
    <row r="15">
      <c r="A15" s="2" t="inlineStr">
        <is>
          <t>Average trip duration</t>
        </is>
      </c>
      <c r="B15" s="5" t="n">
        <v>25</v>
      </c>
      <c r="C15" s="2" t="inlineStr">
        <is>
          <t>minutes</t>
        </is>
      </c>
      <c r="D15" s="2" t="inlineStr">
        <is>
          <t>Paid trip duration</t>
        </is>
      </c>
    </row>
    <row r="16">
      <c r="A16" s="2" t="inlineStr">
        <is>
          <t>Base fare</t>
        </is>
      </c>
      <c r="B16" s="5" t="n">
        <v>50</v>
      </c>
      <c r="C16" s="2" t="inlineStr">
        <is>
          <t>PHP</t>
        </is>
      </c>
      <c r="D16" s="2" t="inlineStr">
        <is>
          <t>Includes first 2 km</t>
        </is>
      </c>
    </row>
    <row r="17">
      <c r="A17" s="2" t="inlineStr">
        <is>
          <t>Distance included in base fare</t>
        </is>
      </c>
      <c r="B17" s="5" t="n">
        <v>2</v>
      </c>
      <c r="C17" s="2" t="inlineStr">
        <is>
          <t>km</t>
        </is>
      </c>
      <c r="D17" s="2" t="inlineStr">
        <is>
          <t>Base fare inclusion</t>
        </is>
      </c>
    </row>
    <row r="18">
      <c r="A18" s="2" t="inlineStr">
        <is>
          <t>Charge / km after base</t>
        </is>
      </c>
      <c r="B18" s="5" t="n">
        <v>10</v>
      </c>
      <c r="C18" s="2" t="inlineStr">
        <is>
          <t>PHP/km</t>
        </is>
      </c>
      <c r="D18" s="2" t="inlineStr">
        <is>
          <t>Through threshold</t>
        </is>
      </c>
    </row>
    <row r="19">
      <c r="A19" s="2" t="inlineStr">
        <is>
          <t>Long-distance threshold</t>
        </is>
      </c>
      <c r="B19" s="5" t="n">
        <v>7</v>
      </c>
      <c r="C19" s="2" t="inlineStr">
        <is>
          <t>km</t>
        </is>
      </c>
      <c r="D19" s="2" t="inlineStr">
        <is>
          <t>Higher rate after this distance</t>
        </is>
      </c>
    </row>
    <row r="20">
      <c r="A20" s="2" t="inlineStr">
        <is>
          <t>Charge / km after threshold</t>
        </is>
      </c>
      <c r="B20" s="5" t="n">
        <v>15</v>
      </c>
      <c r="C20" s="2" t="inlineStr">
        <is>
          <t>PHP/km</t>
        </is>
      </c>
      <c r="D20" s="2" t="inlineStr">
        <is>
          <t>Long-distance rate</t>
        </is>
      </c>
    </row>
    <row r="21">
      <c r="A21" s="2" t="inlineStr">
        <is>
          <t>Minutes included in base fare</t>
        </is>
      </c>
      <c r="B21" s="5" t="n">
        <v>10</v>
      </c>
      <c r="C21" s="2" t="inlineStr">
        <is>
          <t>minutes</t>
        </is>
      </c>
      <c r="D21" s="2" t="inlineStr">
        <is>
          <t>Base fare inclusion</t>
        </is>
      </c>
    </row>
    <row r="22">
      <c r="A22" s="2" t="inlineStr">
        <is>
          <t>Charge / additional minute</t>
        </is>
      </c>
      <c r="B22" s="5" t="n">
        <v>1</v>
      </c>
      <c r="C22" s="2" t="inlineStr">
        <is>
          <t>PHP/min</t>
        </is>
      </c>
      <c r="D22" s="2" t="inlineStr">
        <is>
          <t>Planning allowance</t>
        </is>
      </c>
    </row>
    <row r="23">
      <c r="A23" s="2" t="inlineStr">
        <is>
          <t>E-Ride electric discount</t>
        </is>
      </c>
      <c r="B23" s="5" t="n">
        <v>0.1</v>
      </c>
      <c r="C23" s="2" t="inlineStr">
        <is>
          <t>%</t>
        </is>
      </c>
      <c r="D23" s="2" t="inlineStr">
        <is>
          <t>Discount vs benchmark fare</t>
        </is>
      </c>
    </row>
    <row r="24">
      <c r="A24" s="2" t="inlineStr">
        <is>
          <t>Company share of fare</t>
        </is>
      </c>
      <c r="B24" s="5" t="n">
        <v>1</v>
      </c>
      <c r="C24" s="2" t="inlineStr">
        <is>
          <t>%</t>
        </is>
      </c>
      <c r="D24" s="2" t="inlineStr">
        <is>
          <t>Owned fleet/salaried model</t>
        </is>
      </c>
    </row>
    <row r="25">
      <c r="A25" s="2" t="inlineStr">
        <is>
          <t>Monthly membership / user fee</t>
        </is>
      </c>
      <c r="B25" s="5" t="n">
        <v>0</v>
      </c>
      <c r="C25" s="2" t="inlineStr">
        <is>
          <t>PHP/user</t>
        </is>
      </c>
      <c r="D25" s="2" t="inlineStr">
        <is>
          <t>Optional recurring revenue</t>
        </is>
      </c>
    </row>
    <row r="26">
      <c r="A26" s="2" t="inlineStr">
        <is>
          <t>Rider daily base wage</t>
        </is>
      </c>
      <c r="B26" s="5" t="n">
        <v>695</v>
      </c>
      <c r="C26" s="2" t="inlineStr">
        <is>
          <t>PHP/day</t>
        </is>
      </c>
      <c r="D26" s="2" t="inlineStr">
        <is>
          <t>NCR minimum wage planning input</t>
        </is>
      </c>
    </row>
    <row r="27">
      <c r="A27" s="2" t="inlineStr">
        <is>
          <t>Employer burden / benefits</t>
        </is>
      </c>
      <c r="B27" s="5" t="n">
        <v>0.15</v>
      </c>
      <c r="C27" s="2" t="inlineStr">
        <is>
          <t>%</t>
        </is>
      </c>
      <c r="D27" s="2" t="inlineStr">
        <is>
          <t>Benefits/statutory overhead</t>
        </is>
      </c>
    </row>
    <row r="28">
      <c r="A28" s="2" t="inlineStr">
        <is>
          <t>Daily gross incentive threshold</t>
        </is>
      </c>
      <c r="B28" s="5" t="n">
        <v>3000</v>
      </c>
      <c r="C28" s="2" t="inlineStr">
        <is>
          <t>PHP/rider/day</t>
        </is>
      </c>
      <c r="D28" s="2" t="inlineStr">
        <is>
          <t>Commission begins above this</t>
        </is>
      </c>
    </row>
    <row r="29">
      <c r="A29" s="2" t="inlineStr">
        <is>
          <t>Commission above threshold</t>
        </is>
      </c>
      <c r="B29" s="5" t="n">
        <v>0.2</v>
      </c>
      <c r="C29" s="2" t="inlineStr">
        <is>
          <t>%</t>
        </is>
      </c>
      <c r="D29" s="2" t="inlineStr">
        <is>
          <t>Driver incentive rate</t>
        </is>
      </c>
    </row>
    <row r="30">
      <c r="A30" s="2" t="inlineStr">
        <is>
          <t>E-motorcycle cost</t>
        </is>
      </c>
      <c r="B30" s="5" t="n">
        <v>80000</v>
      </c>
      <c r="C30" s="2" t="inlineStr">
        <is>
          <t>PHP/bike</t>
        </is>
      </c>
      <c r="D30" s="2" t="inlineStr">
        <is>
          <t>Primary battery included</t>
        </is>
      </c>
    </row>
    <row r="31">
      <c r="A31" s="2" t="inlineStr">
        <is>
          <t>Backup battery cost / bike</t>
        </is>
      </c>
      <c r="B31" s="5" t="n">
        <v>20000</v>
      </c>
      <c r="C31" s="2" t="inlineStr">
        <is>
          <t>PHP/bike</t>
        </is>
      </c>
      <c r="D31" s="2" t="inlineStr">
        <is>
          <t>One backup battery per motorcycle</t>
        </is>
      </c>
    </row>
    <row r="32">
      <c r="A32" s="2" t="inlineStr">
        <is>
          <t>Asset recovery period</t>
        </is>
      </c>
      <c r="B32" s="5" t="n">
        <v>48</v>
      </c>
      <c r="C32" s="2" t="inlineStr">
        <is>
          <t>months</t>
        </is>
      </c>
      <c r="D32" s="2" t="inlineStr">
        <is>
          <t>Amortization period</t>
        </is>
      </c>
    </row>
    <row r="33">
      <c r="A33" s="2" t="inlineStr">
        <is>
          <t>Maintenance / bike / month</t>
        </is>
      </c>
      <c r="B33" s="5" t="n">
        <v>1500</v>
      </c>
      <c r="C33" s="2" t="inlineStr">
        <is>
          <t>PHP/bike/month</t>
        </is>
      </c>
      <c r="D33" s="2" t="inlineStr">
        <is>
          <t>Service/repairs</t>
        </is>
      </c>
    </row>
    <row r="34">
      <c r="A34" s="2" t="inlineStr">
        <is>
          <t>Insurance and registration / bike / month</t>
        </is>
      </c>
      <c r="B34" s="5" t="n">
        <v>500</v>
      </c>
      <c r="C34" s="2" t="inlineStr">
        <is>
          <t>PHP/bike/month</t>
        </is>
      </c>
      <c r="D34" s="2" t="inlineStr">
        <is>
          <t>Monthly provision</t>
        </is>
      </c>
    </row>
    <row r="35">
      <c r="A35" s="2" t="inlineStr">
        <is>
          <t>Energy use</t>
        </is>
      </c>
      <c r="B35" s="5" t="n">
        <v>0.045</v>
      </c>
      <c r="C35" s="2" t="inlineStr">
        <is>
          <t>kWh/km</t>
        </is>
      </c>
      <c r="D35" s="2" t="inlineStr">
        <is>
          <t>Replace with telemetry</t>
        </is>
      </c>
    </row>
    <row r="36">
      <c r="A36" s="2" t="inlineStr">
        <is>
          <t>Electricity rate</t>
        </is>
      </c>
      <c r="B36" s="5" t="n">
        <v>13</v>
      </c>
      <c r="C36" s="2" t="inlineStr">
        <is>
          <t>PHP/kWh</t>
        </is>
      </c>
      <c r="D36" s="2" t="inlineStr">
        <is>
          <t>Blended charging tariff</t>
        </is>
      </c>
    </row>
    <row r="37">
      <c r="A37" s="2" t="inlineStr">
        <is>
          <t>Development build budget</t>
        </is>
      </c>
      <c r="B37" s="5" t="n">
        <v>1000000</v>
      </c>
      <c r="C37" s="2" t="inlineStr">
        <is>
          <t>PHP</t>
        </is>
      </c>
      <c r="D37" s="2" t="inlineStr">
        <is>
          <t>Client-facing build budget</t>
        </is>
      </c>
    </row>
    <row r="38">
      <c r="A38" s="2" t="inlineStr">
        <is>
          <t>Development recovery period</t>
        </is>
      </c>
      <c r="B38" s="5" t="n">
        <v>6</v>
      </c>
      <c r="C38" s="2" t="inlineStr">
        <is>
          <t>months</t>
        </is>
      </c>
      <c r="D38" s="2" t="inlineStr">
        <is>
          <t>Six-month work plan</t>
        </is>
      </c>
    </row>
    <row r="39">
      <c r="A39" s="2" t="inlineStr">
        <is>
          <t>Ongoing dev support retainer</t>
        </is>
      </c>
      <c r="B39" s="5" t="n">
        <v>55000</v>
      </c>
      <c r="C39" s="2" t="inlineStr">
        <is>
          <t>PHP/month</t>
        </is>
      </c>
      <c r="D39" s="2" t="inlineStr">
        <is>
          <t>Post-build support</t>
        </is>
      </c>
    </row>
    <row r="40">
      <c r="A40" s="2" t="inlineStr">
        <is>
          <t>POC cloud baseline</t>
        </is>
      </c>
      <c r="B40" s="5" t="n">
        <v>1500</v>
      </c>
      <c r="C40" s="2" t="inlineStr">
        <is>
          <t>PHP/month</t>
        </is>
      </c>
      <c r="D40" s="2" t="inlineStr">
        <is>
          <t>Developer-confirmed POC/free-tier baseline</t>
        </is>
      </c>
    </row>
    <row r="41">
      <c r="A41" s="2" t="inlineStr">
        <is>
          <t>Operations, support and admin</t>
        </is>
      </c>
      <c r="B41" s="5" t="n">
        <v>120000</v>
      </c>
      <c r="C41" s="2" t="inlineStr">
        <is>
          <t>PHP/month</t>
        </is>
      </c>
      <c r="D41" s="2" t="inlineStr">
        <is>
          <t>Fixed ops excluding payroll</t>
        </is>
      </c>
    </row>
    <row r="42">
      <c r="A42" s="2" t="inlineStr">
        <is>
          <t>Support cost / active user</t>
        </is>
      </c>
      <c r="B42" s="5" t="n">
        <v>2</v>
      </c>
      <c r="C42" s="2" t="inlineStr">
        <is>
          <t>PHP/user</t>
        </is>
      </c>
      <c r="D42" s="2" t="inlineStr">
        <is>
          <t>Variable support</t>
        </is>
      </c>
    </row>
    <row r="43">
      <c r="A43" s="2" t="inlineStr">
        <is>
          <t>Marketing / active user</t>
        </is>
      </c>
      <c r="B43" s="5" t="n">
        <v>5</v>
      </c>
      <c r="C43" s="2" t="inlineStr">
        <is>
          <t>PHP/user</t>
        </is>
      </c>
      <c r="D43" s="2" t="inlineStr">
        <is>
          <t>Variable marketing</t>
        </is>
      </c>
    </row>
    <row r="44">
      <c r="A44" s="2" t="inlineStr">
        <is>
          <t>Digital payment share</t>
        </is>
      </c>
      <c r="B44" s="5" t="n">
        <v>0.35</v>
      </c>
      <c r="C44" s="2" t="inlineStr">
        <is>
          <t>%</t>
        </is>
      </c>
      <c r="D44" s="2" t="inlineStr">
        <is>
          <t>Share paid digitally</t>
        </is>
      </c>
    </row>
    <row r="45">
      <c r="A45" s="2" t="inlineStr">
        <is>
          <t>Payment fee on digital fares</t>
        </is>
      </c>
      <c r="B45" s="5" t="n">
        <v>0.025</v>
      </c>
      <c r="C45" s="2" t="inlineStr">
        <is>
          <t>%</t>
        </is>
      </c>
      <c r="D45" s="2" t="inlineStr">
        <is>
          <t>Payment fee</t>
        </is>
      </c>
    </row>
    <row r="46">
      <c r="A46" s="2" t="inlineStr">
        <is>
          <t>Tax / regulatory reserve on revenue</t>
        </is>
      </c>
      <c r="B46" s="5" t="n">
        <v>0.03</v>
      </c>
      <c r="C46" s="2" t="inlineStr">
        <is>
          <t>%</t>
        </is>
      </c>
      <c r="D46" s="2" t="inlineStr">
        <is>
          <t>Planning reserve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24" customWidth="1" min="3" max="3"/>
    <col width="48" customWidth="1" min="4" max="4"/>
  </cols>
  <sheetData>
    <row r="1">
      <c r="A1" s="1" t="inlineStr">
        <is>
          <t>E-Ride Operating Model - Calculations</t>
        </is>
      </c>
      <c r="B1" s="2" t="n"/>
      <c r="C1" s="2" t="n"/>
      <c r="D1" s="2" t="n"/>
    </row>
    <row r="2">
      <c r="A2" s="3" t="inlineStr">
        <is>
          <t>Core deterministic calculation. This is the Excel fallback for the dashboard.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4" t="inlineStr">
        <is>
          <t>Metric</t>
        </is>
      </c>
      <c r="B4" s="4" t="inlineStr">
        <is>
          <t>Formula / Value</t>
        </is>
      </c>
      <c r="C4" s="4" t="inlineStr">
        <is>
          <t>Unit</t>
        </is>
      </c>
      <c r="D4" s="4" t="inlineStr">
        <is>
          <t>Meaning</t>
        </is>
      </c>
    </row>
    <row r="5">
      <c r="A5" s="2" t="inlineStr">
        <is>
          <t>Short distance km</t>
        </is>
      </c>
      <c r="B5" s="6">
        <f>MIN(MAX(Inputs!B14-Inputs!B17,0),MAX(Inputs!B19-Inputs!B17,0))</f>
        <v/>
      </c>
      <c r="C5" s="2" t="inlineStr">
        <is>
          <t>km</t>
        </is>
      </c>
      <c r="D5" s="2" t="inlineStr">
        <is>
          <t>Charged at regular per-km rate</t>
        </is>
      </c>
    </row>
    <row r="6">
      <c r="A6" s="2" t="inlineStr">
        <is>
          <t>Long distance km</t>
        </is>
      </c>
      <c r="B6" s="6">
        <f>MAX(Inputs!B14-Inputs!B19,0)</f>
        <v/>
      </c>
      <c r="C6" s="2" t="inlineStr">
        <is>
          <t>km</t>
        </is>
      </c>
      <c r="D6" s="2" t="inlineStr">
        <is>
          <t>Charged at long-distance rate</t>
        </is>
      </c>
    </row>
    <row r="7">
      <c r="A7" s="2" t="inlineStr">
        <is>
          <t>Charged minutes</t>
        </is>
      </c>
      <c r="B7" s="6">
        <f>MAX(Inputs!B15-Inputs!B21,0)</f>
        <v/>
      </c>
      <c r="C7" s="2" t="inlineStr">
        <is>
          <t>minutes</t>
        </is>
      </c>
      <c r="D7" s="2" t="inlineStr">
        <is>
          <t>Charged beyond base minutes</t>
        </is>
      </c>
    </row>
    <row r="8">
      <c r="A8" s="2" t="inlineStr">
        <is>
          <t>Fare before discount</t>
        </is>
      </c>
      <c r="B8" s="6">
        <f>Inputs!B16+B5*Inputs!B18+B6*Inputs!B20+B7*Inputs!B22</f>
        <v/>
      </c>
      <c r="C8" s="2" t="inlineStr">
        <is>
          <t>PHP/ride</t>
        </is>
      </c>
      <c r="D8" s="2" t="inlineStr">
        <is>
          <t>Benchmark fare</t>
        </is>
      </c>
    </row>
    <row r="9">
      <c r="A9" s="2" t="inlineStr">
        <is>
          <t>Final passenger fare</t>
        </is>
      </c>
      <c r="B9" s="6">
        <f>B8*(1-Inputs!B23)</f>
        <v/>
      </c>
      <c r="C9" s="2" t="inlineStr">
        <is>
          <t>PHP/ride</t>
        </is>
      </c>
      <c r="D9" s="2" t="inlineStr">
        <is>
          <t>Passenger fare</t>
        </is>
      </c>
    </row>
    <row r="10">
      <c r="A10" s="2" t="inlineStr">
        <is>
          <t>Requested demand</t>
        </is>
      </c>
      <c r="B10" s="6">
        <f>Inputs!B8*Inputs!B10</f>
        <v/>
      </c>
      <c r="C10" s="2" t="inlineStr">
        <is>
          <t>rides/month</t>
        </is>
      </c>
      <c r="D10" s="2" t="inlineStr">
        <is>
          <t>User demand</t>
        </is>
      </c>
    </row>
    <row r="11">
      <c r="A11" s="2" t="inlineStr">
        <is>
          <t>Requested fleet capacity</t>
        </is>
      </c>
      <c r="B11" s="6">
        <f>Inputs!B9*Inputs!B11*Inputs!B12</f>
        <v/>
      </c>
      <c r="C11" s="2" t="inlineStr">
        <is>
          <t>rides/month</t>
        </is>
      </c>
      <c r="D11" s="2" t="inlineStr">
        <is>
          <t>Fleet capacity</t>
        </is>
      </c>
    </row>
    <row r="12">
      <c r="A12" s="2" t="inlineStr">
        <is>
          <t>Requested served rides</t>
        </is>
      </c>
      <c r="B12" s="6">
        <f>MIN(B10,B11)</f>
        <v/>
      </c>
      <c r="C12" s="2" t="inlineStr">
        <is>
          <t>rides/month</t>
        </is>
      </c>
      <c r="D12" s="2" t="inlineStr">
        <is>
          <t>Matched rides</t>
        </is>
      </c>
    </row>
    <row r="13">
      <c r="A13" s="2" t="inlineStr">
        <is>
          <t>Completed rides</t>
        </is>
      </c>
      <c r="B13" s="6">
        <f>B12*Inputs!B13</f>
        <v/>
      </c>
      <c r="C13" s="2" t="inlineStr">
        <is>
          <t>rides/month</t>
        </is>
      </c>
      <c r="D13" s="2" t="inlineStr">
        <is>
          <t>Revenue-generating rides</t>
        </is>
      </c>
    </row>
    <row r="14">
      <c r="A14" s="2" t="inlineStr">
        <is>
          <t>Completed rides / day</t>
        </is>
      </c>
      <c r="B14" s="6">
        <f>B13/Inputs!B12</f>
        <v/>
      </c>
      <c r="C14" s="2" t="inlineStr">
        <is>
          <t>rides/day</t>
        </is>
      </c>
      <c r="D14" s="2" t="inlineStr">
        <is>
          <t>Daily completed rides</t>
        </is>
      </c>
    </row>
    <row r="15">
      <c r="A15" s="2" t="inlineStr">
        <is>
          <t>Completed rides / rider / day</t>
        </is>
      </c>
      <c r="B15" s="6">
        <f>B13/(Inputs!B9*Inputs!B12)</f>
        <v/>
      </c>
      <c r="C15" s="2" t="inlineStr">
        <is>
          <t>rides/rider/day</t>
        </is>
      </c>
      <c r="D15" s="2" t="inlineStr">
        <is>
          <t>Actual utilization</t>
        </is>
      </c>
    </row>
    <row r="16">
      <c r="A16" s="2" t="inlineStr">
        <is>
          <t>Fare revenue</t>
        </is>
      </c>
      <c r="B16" s="6">
        <f>B13*B9*Inputs!B24</f>
        <v/>
      </c>
      <c r="C16" s="2" t="inlineStr">
        <is>
          <t>PHP/month</t>
        </is>
      </c>
      <c r="D16" s="2" t="inlineStr">
        <is>
          <t>Retained fare revenue</t>
        </is>
      </c>
    </row>
    <row r="17">
      <c r="A17" s="2" t="inlineStr">
        <is>
          <t>Membership revenue</t>
        </is>
      </c>
      <c r="B17" s="6">
        <f>Inputs!B8*Inputs!B25</f>
        <v/>
      </c>
      <c r="C17" s="2" t="inlineStr">
        <is>
          <t>PHP/month</t>
        </is>
      </c>
      <c r="D17" s="2" t="inlineStr">
        <is>
          <t>Optional user fees</t>
        </is>
      </c>
    </row>
    <row r="18">
      <c r="A18" s="2" t="inlineStr">
        <is>
          <t>Total revenue</t>
        </is>
      </c>
      <c r="B18" s="6">
        <f>B16+B17</f>
        <v/>
      </c>
      <c r="C18" s="2" t="inlineStr">
        <is>
          <t>PHP/month</t>
        </is>
      </c>
      <c r="D18" s="2" t="inlineStr">
        <is>
          <t>Total revenue</t>
        </is>
      </c>
    </row>
    <row r="19">
      <c r="A19" s="2" t="inlineStr">
        <is>
          <t>Rider base payroll</t>
        </is>
      </c>
      <c r="B19" s="6">
        <f>Inputs!B9*Inputs!B26*Inputs!B12*(1+Inputs!B27)</f>
        <v/>
      </c>
      <c r="C19" s="2" t="inlineStr">
        <is>
          <t>PHP/month</t>
        </is>
      </c>
      <c r="D19" s="2" t="inlineStr">
        <is>
          <t>Wages plus burden</t>
        </is>
      </c>
    </row>
    <row r="20">
      <c r="A20" s="2" t="inlineStr">
        <is>
          <t>Gross fare / rider / day</t>
        </is>
      </c>
      <c r="B20" s="6">
        <f>(B13*B9)/(Inputs!B9*Inputs!B12)</f>
        <v/>
      </c>
      <c r="C20" s="2" t="inlineStr">
        <is>
          <t>PHP/rider/day</t>
        </is>
      </c>
      <c r="D20" s="2" t="inlineStr">
        <is>
          <t>Incentive basis</t>
        </is>
      </c>
    </row>
    <row r="21">
      <c r="A21" s="2" t="inlineStr">
        <is>
          <t>Rider incentives</t>
        </is>
      </c>
      <c r="B21" s="6">
        <f>Inputs!B9*Inputs!B12*MAX(B20-Inputs!B28,0)*Inputs!B29</f>
        <v/>
      </c>
      <c r="C21" s="2" t="inlineStr">
        <is>
          <t>PHP/month</t>
        </is>
      </c>
      <c r="D21" s="2" t="inlineStr">
        <is>
          <t>Commission above threshold</t>
        </is>
      </c>
    </row>
    <row r="22">
      <c r="A22" s="2" t="inlineStr">
        <is>
          <t>Electricity</t>
        </is>
      </c>
      <c r="B22" s="6">
        <f>B13*Inputs!B14*Inputs!B35*Inputs!B36</f>
        <v/>
      </c>
      <c r="C22" s="2" t="inlineStr">
        <is>
          <t>PHP/month</t>
        </is>
      </c>
      <c r="D22" s="2" t="inlineStr">
        <is>
          <t>Charging cost</t>
        </is>
      </c>
    </row>
    <row r="23">
      <c r="A23" s="2" t="inlineStr">
        <is>
          <t>Fleet acquisition / amortization</t>
        </is>
      </c>
      <c r="B23" s="6">
        <f>IF(Inputs!B5=1,Inputs!B9*(Inputs!B30+Inputs!B31)/Inputs!B32,0)</f>
        <v/>
      </c>
      <c r="C23" s="2" t="inlineStr">
        <is>
          <t>PHP/month</t>
        </is>
      </c>
      <c r="D23" s="2" t="inlineStr">
        <is>
          <t>Asset recovery switch</t>
        </is>
      </c>
    </row>
    <row r="24">
      <c r="A24" s="2" t="inlineStr">
        <is>
          <t>Fleet maintenance, insurance, registration</t>
        </is>
      </c>
      <c r="B24" s="6">
        <f>Inputs!B9*(Inputs!B33+Inputs!B34)</f>
        <v/>
      </c>
      <c r="C24" s="2" t="inlineStr">
        <is>
          <t>PHP/month</t>
        </is>
      </c>
      <c r="D24" s="2" t="inlineStr">
        <is>
          <t>Fleet operating cost</t>
        </is>
      </c>
    </row>
    <row r="25">
      <c r="A25" s="2" t="inlineStr">
        <is>
          <t>Development build recovery</t>
        </is>
      </c>
      <c r="B25" s="6">
        <f>IF(Inputs!B6=1,Inputs!B37/Inputs!B38,0)</f>
        <v/>
      </c>
      <c r="C25" s="2" t="inlineStr">
        <is>
          <t>PHP/month</t>
        </is>
      </c>
      <c r="D25" s="2" t="inlineStr">
        <is>
          <t>Build recovery switch</t>
        </is>
      </c>
    </row>
    <row r="26">
      <c r="A26" s="2" t="inlineStr">
        <is>
          <t>Ongoing dev support retainer</t>
        </is>
      </c>
      <c r="B26" s="6">
        <f>IF(Inputs!B6=1,Inputs!B39,0)</f>
        <v/>
      </c>
      <c r="C26" s="2" t="inlineStr">
        <is>
          <t>PHP/month</t>
        </is>
      </c>
      <c r="D26" s="2" t="inlineStr">
        <is>
          <t>Dev support switch</t>
        </is>
      </c>
    </row>
    <row r="27">
      <c r="A27" s="2" t="inlineStr">
        <is>
          <t>Cloud / API cost</t>
        </is>
      </c>
      <c r="B27" s="6">
        <f>IF(Inputs!B7=1,Cloud_Tiers!B8,0)</f>
        <v/>
      </c>
      <c r="C27" s="2" t="inlineStr">
        <is>
          <t>PHP/month</t>
        </is>
      </c>
      <c r="D27" s="2" t="inlineStr">
        <is>
          <t>Cloud recovery switch</t>
        </is>
      </c>
    </row>
    <row r="28">
      <c r="A28" s="2" t="inlineStr">
        <is>
          <t>Operations, support and admin</t>
        </is>
      </c>
      <c r="B28" s="6">
        <f>Inputs!B41+Inputs!B8*(Inputs!B42+Inputs!B43)</f>
        <v/>
      </c>
      <c r="C28" s="2" t="inlineStr">
        <is>
          <t>PHP/month</t>
        </is>
      </c>
      <c r="D28" s="2" t="inlineStr">
        <is>
          <t>Fixed + user ops</t>
        </is>
      </c>
    </row>
    <row r="29">
      <c r="A29" s="2" t="inlineStr">
        <is>
          <t>Payment processing</t>
        </is>
      </c>
      <c r="B29" s="6">
        <f>B18*Inputs!B44*Inputs!B45</f>
        <v/>
      </c>
      <c r="C29" s="2" t="inlineStr">
        <is>
          <t>PHP/month</t>
        </is>
      </c>
      <c r="D29" s="2" t="inlineStr">
        <is>
          <t>Digital payment fee</t>
        </is>
      </c>
    </row>
    <row r="30">
      <c r="A30" s="2" t="inlineStr">
        <is>
          <t>Tax / regulatory reserve</t>
        </is>
      </c>
      <c r="B30" s="6">
        <f>B18*Inputs!B46</f>
        <v/>
      </c>
      <c r="C30" s="2" t="inlineStr">
        <is>
          <t>PHP/month</t>
        </is>
      </c>
      <c r="D30" s="2" t="inlineStr">
        <is>
          <t>Revenue reserve</t>
        </is>
      </c>
    </row>
    <row r="31">
      <c r="A31" s="2" t="inlineStr">
        <is>
          <t>Total cost</t>
        </is>
      </c>
      <c r="B31" s="6">
        <f>SUM(B19,B21:B29)</f>
        <v/>
      </c>
      <c r="C31" s="2" t="inlineStr">
        <is>
          <t>PHP/month</t>
        </is>
      </c>
      <c r="D31" s="2" t="inlineStr">
        <is>
          <t>Total monthly cost</t>
        </is>
      </c>
    </row>
    <row r="32">
      <c r="A32" s="2" t="inlineStr">
        <is>
          <t>Monthly profit / loss</t>
        </is>
      </c>
      <c r="B32" s="6">
        <f>B18-B31</f>
        <v/>
      </c>
      <c r="C32" s="2" t="inlineStr">
        <is>
          <t>PHP/month</t>
        </is>
      </c>
      <c r="D32" s="2" t="inlineStr">
        <is>
          <t>Net result</t>
        </is>
      </c>
    </row>
    <row r="33">
      <c r="A33" s="2" t="inlineStr">
        <is>
          <t>Required revenue / active user</t>
        </is>
      </c>
      <c r="B33" s="6">
        <f>B31/Inputs!B8</f>
        <v/>
      </c>
      <c r="C33" s="2" t="inlineStr">
        <is>
          <t>PHP/user/month</t>
        </is>
      </c>
      <c r="D33" s="2" t="inlineStr">
        <is>
          <t>Cost to recover per active user</t>
        </is>
      </c>
    </row>
    <row r="34">
      <c r="A34" s="2" t="inlineStr">
        <is>
          <t>Revenue / active user</t>
        </is>
      </c>
      <c r="B34" s="6">
        <f>B18/Inputs!B8</f>
        <v/>
      </c>
      <c r="C34" s="2" t="inlineStr">
        <is>
          <t>PHP/user/month</t>
        </is>
      </c>
      <c r="D34" s="2" t="inlineStr">
        <is>
          <t>Current revenue per active user</t>
        </is>
      </c>
    </row>
    <row r="35">
      <c r="A35" s="2" t="inlineStr">
        <is>
          <t>Profit / active user</t>
        </is>
      </c>
      <c r="B35" s="6">
        <f>B32/Inputs!B8</f>
        <v/>
      </c>
      <c r="C35" s="2" t="inlineStr">
        <is>
          <t>PHP/user/month</t>
        </is>
      </c>
      <c r="D35" s="2" t="inlineStr">
        <is>
          <t>Net per active user</t>
        </is>
      </c>
    </row>
    <row r="36">
      <c r="A36" s="2" t="inlineStr">
        <is>
          <t>Cost / completed ride</t>
        </is>
      </c>
      <c r="B36" s="6">
        <f>B31/B13</f>
        <v/>
      </c>
      <c r="C36" s="2" t="inlineStr">
        <is>
          <t>PHP/ride</t>
        </is>
      </c>
      <c r="D36" s="2" t="inlineStr">
        <is>
          <t>Average cost per ride</t>
        </is>
      </c>
    </row>
    <row r="37">
      <c r="A37" s="2" t="inlineStr">
        <is>
          <t>Profit / completed ride</t>
        </is>
      </c>
      <c r="B37" s="7">
        <f>B32/B13</f>
        <v/>
      </c>
      <c r="C37" s="2" t="inlineStr">
        <is>
          <t>PHP/ride</t>
        </is>
      </c>
      <c r="D37" s="2" t="inlineStr">
        <is>
          <t>Average profit per ride</t>
        </is>
      </c>
    </row>
    <row r="38">
      <c r="A38" s="2" t="inlineStr">
        <is>
          <t>Fleet utilization</t>
        </is>
      </c>
      <c r="B38" s="6">
        <f>B12/B11</f>
        <v/>
      </c>
      <c r="C38" s="2" t="inlineStr">
        <is>
          <t>%</t>
        </is>
      </c>
      <c r="D38" s="2" t="inlineStr">
        <is>
          <t>Served requested rides / capacity</t>
        </is>
      </c>
    </row>
    <row r="39">
      <c r="A39" s="2" t="inlineStr">
        <is>
          <t>Approx. break-even completed rides/month</t>
        </is>
      </c>
      <c r="B39" s="6">
        <f>IF((B9*Inputs!B24*(1-Inputs!B44*Inputs!B45-Inputs!B46)-Inputs!B14*Inputs!B35*Inputs!B36)&gt;0,(B19+B21+B23+B24+B25+B26+B27+B28)/(B9*Inputs!B24*(1-Inputs!B44*Inputs!B45-Inputs!B46)-Inputs!B14*Inputs!B35*Inputs!B36),"Check fare")</f>
        <v/>
      </c>
      <c r="C39" s="2" t="inlineStr">
        <is>
          <t>rides/month</t>
        </is>
      </c>
      <c r="D39" s="2" t="inlineStr">
        <is>
          <t>Approximate target; keeps incentive at current threshold behavior</t>
        </is>
      </c>
    </row>
    <row r="40">
      <c r="A40" s="2" t="inlineStr">
        <is>
          <t>Approx. break-even completed rides/day</t>
        </is>
      </c>
      <c r="B40" s="6">
        <f>B39/Inputs!B12</f>
        <v/>
      </c>
      <c r="C40" s="2" t="inlineStr">
        <is>
          <t>rides/day</t>
        </is>
      </c>
      <c r="D40" s="2" t="inlineStr">
        <is>
          <t>Daily target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22" customWidth="1" min="4" max="4"/>
  </cols>
  <sheetData>
    <row r="1">
      <c r="A1" s="1" t="inlineStr">
        <is>
          <t>Monthly Cost Breakdown</t>
        </is>
      </c>
      <c r="B1" s="2" t="n"/>
      <c r="C1" s="2" t="n"/>
      <c r="D1" s="2" t="n"/>
    </row>
    <row r="2">
      <c r="A2" s="3" t="inlineStr">
        <is>
          <t>Cost lines link directly to Model calculations.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4" t="inlineStr">
        <is>
          <t>Cost category</t>
        </is>
      </c>
      <c r="B4" s="4" t="inlineStr">
        <is>
          <t>Monthly PHP</t>
        </is>
      </c>
      <c r="C4" s="4" t="inlineStr">
        <is>
          <t>Share of cost</t>
        </is>
      </c>
      <c r="D4" s="4" t="inlineStr">
        <is>
          <t>PHP / completed ride</t>
        </is>
      </c>
    </row>
    <row r="5">
      <c r="A5" s="2" t="inlineStr">
        <is>
          <t>Rider base payroll</t>
        </is>
      </c>
      <c r="B5" s="6">
        <f>Model!B19</f>
        <v/>
      </c>
      <c r="C5" s="7">
        <f>B5/Model!B31</f>
        <v/>
      </c>
      <c r="D5" s="6">
        <f>B5/Model!B13</f>
        <v/>
      </c>
    </row>
    <row r="6">
      <c r="A6" s="2" t="inlineStr">
        <is>
          <t>Rider incentives</t>
        </is>
      </c>
      <c r="B6" s="6">
        <f>Model!B21</f>
        <v/>
      </c>
      <c r="C6" s="7">
        <f>B6/Model!B31</f>
        <v/>
      </c>
      <c r="D6" s="6">
        <f>B6/Model!B13</f>
        <v/>
      </c>
    </row>
    <row r="7">
      <c r="A7" s="2" t="inlineStr">
        <is>
          <t>Electricity</t>
        </is>
      </c>
      <c r="B7" s="6">
        <f>Model!B22</f>
        <v/>
      </c>
      <c r="C7" s="7">
        <f>B7/Model!B31</f>
        <v/>
      </c>
      <c r="D7" s="6">
        <f>B7/Model!B13</f>
        <v/>
      </c>
    </row>
    <row r="8">
      <c r="A8" s="2" t="inlineStr">
        <is>
          <t>Fleet acquisition / amortization</t>
        </is>
      </c>
      <c r="B8" s="6">
        <f>Model!B23</f>
        <v/>
      </c>
      <c r="C8" s="7">
        <f>B8/Model!B31</f>
        <v/>
      </c>
      <c r="D8" s="6">
        <f>B8/Model!B13</f>
        <v/>
      </c>
    </row>
    <row r="9">
      <c r="A9" s="2" t="inlineStr">
        <is>
          <t>Fleet maintenance, insurance, registration</t>
        </is>
      </c>
      <c r="B9" s="6">
        <f>Model!B24</f>
        <v/>
      </c>
      <c r="C9" s="7">
        <f>B9/Model!B31</f>
        <v/>
      </c>
      <c r="D9" s="6">
        <f>B9/Model!B13</f>
        <v/>
      </c>
    </row>
    <row r="10">
      <c r="A10" s="2" t="inlineStr">
        <is>
          <t>Development build recovery</t>
        </is>
      </c>
      <c r="B10" s="6">
        <f>Model!B25</f>
        <v/>
      </c>
      <c r="C10" s="7">
        <f>B10/Model!B31</f>
        <v/>
      </c>
      <c r="D10" s="6">
        <f>B10/Model!B13</f>
        <v/>
      </c>
    </row>
    <row r="11">
      <c r="A11" s="2" t="inlineStr">
        <is>
          <t>Ongoing dev support retainer</t>
        </is>
      </c>
      <c r="B11" s="6">
        <f>Model!B26</f>
        <v/>
      </c>
      <c r="C11" s="7">
        <f>B11/Model!B31</f>
        <v/>
      </c>
      <c r="D11" s="6">
        <f>B11/Model!B13</f>
        <v/>
      </c>
    </row>
    <row r="12">
      <c r="A12" s="2" t="inlineStr">
        <is>
          <t>Cloud / API cost</t>
        </is>
      </c>
      <c r="B12" s="6">
        <f>Model!B27</f>
        <v/>
      </c>
      <c r="C12" s="7">
        <f>B12/Model!B31</f>
        <v/>
      </c>
      <c r="D12" s="6">
        <f>B12/Model!B13</f>
        <v/>
      </c>
    </row>
    <row r="13">
      <c r="A13" s="2" t="inlineStr">
        <is>
          <t>Operations, support and admin</t>
        </is>
      </c>
      <c r="B13" s="6">
        <f>Model!B28</f>
        <v/>
      </c>
      <c r="C13" s="7">
        <f>B13/Model!B31</f>
        <v/>
      </c>
      <c r="D13" s="6">
        <f>B13/Model!B13</f>
        <v/>
      </c>
    </row>
    <row r="14">
      <c r="A14" s="2" t="inlineStr">
        <is>
          <t>Payment processing</t>
        </is>
      </c>
      <c r="B14" s="6">
        <f>Model!B29</f>
        <v/>
      </c>
      <c r="C14" s="7">
        <f>B14/Model!B31</f>
        <v/>
      </c>
      <c r="D14" s="6">
        <f>B14/Model!B13</f>
        <v/>
      </c>
    </row>
    <row r="15">
      <c r="A15" s="2" t="inlineStr">
        <is>
          <t>Tax / regulatory reserve</t>
        </is>
      </c>
      <c r="B15" s="6">
        <f>Model!B30</f>
        <v/>
      </c>
      <c r="C15" s="7">
        <f>B15/Model!B31</f>
        <v/>
      </c>
      <c r="D15" s="6">
        <f>B15/Model!B13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8" customWidth="1" min="3" max="3"/>
    <col width="20" customWidth="1" min="4" max="4"/>
  </cols>
  <sheetData>
    <row r="1">
      <c r="A1" s="1" t="inlineStr">
        <is>
          <t>AWS / Cloud and API Cost Tiers</t>
        </is>
      </c>
      <c r="B1" s="2" t="n"/>
      <c r="C1" s="2" t="n"/>
      <c r="D1" s="2" t="n"/>
    </row>
    <row r="2">
      <c r="A2" s="3" t="inlineStr">
        <is>
          <t>Uses the workbook-based Google Maps/API scaling plus POC baseline.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4" t="inlineStr">
        <is>
          <t>Tier</t>
        </is>
      </c>
      <c r="B4" s="4" t="inlineStr">
        <is>
          <t>Estimated monthly cloud/API cost</t>
        </is>
      </c>
      <c r="C4" s="4" t="inlineStr">
        <is>
          <t>Active users</t>
        </is>
      </c>
      <c r="D4" s="4" t="inlineStr">
        <is>
          <t>Cost / active user</t>
        </is>
      </c>
    </row>
    <row r="5">
      <c r="A5" s="2" t="inlineStr">
        <is>
          <t>POC pilot</t>
        </is>
      </c>
      <c r="B5" s="6">
        <f>Inputs!B40+SUM(MAX(C5*21*5-10000,0)/1000*2.83,MAX(C5*21*2-10000,0)/1000*5,MAX(C5*21*1-10000,0)/1000*5,MAX(C5*21*2-10000,0)/1000*5)*58</f>
        <v/>
      </c>
      <c r="C5" s="8" t="n">
        <v>20</v>
      </c>
      <c r="D5" s="6">
        <f>B5/C5</f>
        <v/>
      </c>
    </row>
    <row r="6">
      <c r="A6" s="2" t="inlineStr">
        <is>
          <t>Small internal launch</t>
        </is>
      </c>
      <c r="B6" s="6">
        <f>Inputs!B40+SUM(MAX(C6*21*5-10000,0)/1000*2.83,MAX(C6*21*2-10000,0)/1000*5,MAX(C6*21*1-10000,0)/1000*5,MAX(C6*21*2-10000,0)/1000*5)*58</f>
        <v/>
      </c>
      <c r="C6" s="8" t="n">
        <v>100</v>
      </c>
      <c r="D6" s="6">
        <f>B6/C6</f>
        <v/>
      </c>
    </row>
    <row r="7">
      <c r="A7" s="2" t="inlineStr">
        <is>
          <t>Campus/barangay launch</t>
        </is>
      </c>
      <c r="B7" s="6">
        <f>Inputs!B40+SUM(MAX(C7*21*5-10000,0)/1000*2.83,MAX(C7*21*2-10000,0)/1000*5,MAX(C7*21*1-10000,0)/1000*5,MAX(C7*21*2-10000,0)/1000*5)*58</f>
        <v/>
      </c>
      <c r="C7" s="8" t="n">
        <v>500</v>
      </c>
      <c r="D7" s="6">
        <f>B7/C7</f>
        <v/>
      </c>
    </row>
    <row r="8">
      <c r="A8" s="2" t="inlineStr">
        <is>
          <t>Early city launch</t>
        </is>
      </c>
      <c r="B8" s="6">
        <f>Inputs!B40+SUM(MAX(C8*21*5-10000,0)/1000*2.83,MAX(C8*21*2-10000,0)/1000*5,MAX(C8*21*1-10000,0)/1000*5,MAX(C8*21*2-10000,0)/1000*5)*58</f>
        <v/>
      </c>
      <c r="C8" s="8" t="n">
        <v>1000</v>
      </c>
      <c r="D8" s="6">
        <f>B8/C8</f>
        <v/>
      </c>
    </row>
    <row r="9">
      <c r="A9" s="2" t="inlineStr">
        <is>
          <t>Current scenario</t>
        </is>
      </c>
      <c r="B9" s="6">
        <f>Inputs!B40+SUM(MAX(C9*21*5-10000,0)/1000*2.83,MAX(C9*21*2-10000,0)/1000*5,MAX(C9*21*1-10000,0)/1000*5,MAX(C9*21*2-10000,0)/1000*5)*58</f>
        <v/>
      </c>
      <c r="C9" s="8">
        <f>Inputs!B8</f>
        <v/>
      </c>
      <c r="D9" s="6">
        <f>B9/C9</f>
        <v/>
      </c>
    </row>
    <row r="10">
      <c r="A10" s="2" t="inlineStr">
        <is>
          <t>Dense launch</t>
        </is>
      </c>
      <c r="B10" s="6">
        <f>Inputs!B40+SUM(MAX(C10*21*5-10000,0)/1000*2.83,MAX(C10*21*2-10000,0)/1000*5,MAX(C10*21*1-10000,0)/1000*5,MAX(C10*21*2-10000,0)/1000*5)*58</f>
        <v/>
      </c>
      <c r="C10" s="8" t="n">
        <v>5000</v>
      </c>
      <c r="D10" s="6">
        <f>B10/C10</f>
        <v/>
      </c>
    </row>
    <row r="11">
      <c r="A11" s="2" t="inlineStr">
        <is>
          <t>City scale</t>
        </is>
      </c>
      <c r="B11" s="6">
        <f>Inputs!B40+SUM(MAX(C11*21*5-10000,0)/1000*2.83,MAX(C11*21*2-10000,0)/1000*5,MAX(C11*21*1-10000,0)/1000*5,MAX(C11*21*2-10000,0)/1000*5)*58</f>
        <v/>
      </c>
      <c r="C11" s="8" t="n">
        <v>10000</v>
      </c>
      <c r="D11" s="6">
        <f>B11/C11</f>
        <v/>
      </c>
    </row>
    <row r="12">
      <c r="A12" s="2" t="inlineStr">
        <is>
          <t>Metro scale stress test</t>
        </is>
      </c>
      <c r="B12" s="6">
        <f>Inputs!B40+SUM(MAX(C12*21*5-10000,0)/1000*2.83,MAX(C12*21*2-10000,0)/1000*5,MAX(C12*21*1-10000,0)/1000*5,MAX(C12*21*2-10000,0)/1000*5)*58</f>
        <v/>
      </c>
      <c r="C12" s="8" t="n">
        <v>25000</v>
      </c>
      <c r="D12" s="6">
        <f>B12/C12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22" customWidth="1" min="2" max="2"/>
    <col width="22" customWidth="1" min="3" max="3"/>
    <col width="16" customWidth="1" min="4" max="4"/>
  </cols>
  <sheetData>
    <row r="1">
      <c r="A1" s="1" t="inlineStr">
        <is>
          <t>Development Budget Allocation</t>
        </is>
      </c>
      <c r="B1" s="2" t="n"/>
      <c r="C1" s="2" t="n"/>
      <c r="D1" s="2" t="n"/>
    </row>
    <row r="2">
      <c r="A2" s="3" t="inlineStr">
        <is>
          <t>Default allocation sums to PHP 1,000,000 and scales with the editable build budget.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4" t="inlineStr">
        <is>
          <t>Role</t>
        </is>
      </c>
      <c r="B4" s="4" t="inlineStr">
        <is>
          <t>6-month allocation</t>
        </is>
      </c>
      <c r="C4" s="4" t="inlineStr">
        <is>
          <t>Monthly allocation</t>
        </is>
      </c>
      <c r="D4" s="4" t="inlineStr">
        <is>
          <t>Share</t>
        </is>
      </c>
    </row>
    <row r="5">
      <c r="A5" s="2" t="inlineStr">
        <is>
          <t>Lead full-stack developer / PM</t>
        </is>
      </c>
      <c r="B5" s="6">
        <f>330000/1000000*Inputs!B37</f>
        <v/>
      </c>
      <c r="C5" s="6">
        <f>B5/6</f>
        <v/>
      </c>
      <c r="D5" s="7">
        <f>B5/SUM($B$5:$B$11)</f>
        <v/>
      </c>
    </row>
    <row r="6">
      <c r="A6" s="2" t="inlineStr">
        <is>
          <t>Backend developer</t>
        </is>
      </c>
      <c r="B6" s="6">
        <f>180000/1000000*Inputs!B37</f>
        <v/>
      </c>
      <c r="C6" s="6">
        <f>B6/6</f>
        <v/>
      </c>
      <c r="D6" s="7">
        <f>B6/SUM($B$5:$B$11)</f>
        <v/>
      </c>
    </row>
    <row r="7">
      <c r="A7" s="2" t="inlineStr">
        <is>
          <t>Frontend/mobile developer</t>
        </is>
      </c>
      <c r="B7" s="6">
        <f>140000/1000000*Inputs!B37</f>
        <v/>
      </c>
      <c r="C7" s="6">
        <f>B7/6</f>
        <v/>
      </c>
      <c r="D7" s="7">
        <f>B7/SUM($B$5:$B$11)</f>
        <v/>
      </c>
    </row>
    <row r="8">
      <c r="A8" s="2" t="inlineStr">
        <is>
          <t>Cloud / DevOps engineer</t>
        </is>
      </c>
      <c r="B8" s="6">
        <f>120000/1000000*Inputs!B37</f>
        <v/>
      </c>
      <c r="C8" s="6">
        <f>B8/6</f>
        <v/>
      </c>
      <c r="D8" s="7">
        <f>B8/SUM($B$5:$B$11)</f>
        <v/>
      </c>
    </row>
    <row r="9">
      <c r="A9" s="2" t="inlineStr">
        <is>
          <t>QA and release support</t>
        </is>
      </c>
      <c r="B9" s="6">
        <f>90000/1000000*Inputs!B37</f>
        <v/>
      </c>
      <c r="C9" s="6">
        <f>B9/6</f>
        <v/>
      </c>
      <c r="D9" s="7">
        <f>B9/SUM($B$5:$B$11)</f>
        <v/>
      </c>
    </row>
    <row r="10">
      <c r="A10" s="2" t="inlineStr">
        <is>
          <t>Product / client coordination</t>
        </is>
      </c>
      <c r="B10" s="6">
        <f>80000/1000000*Inputs!B37</f>
        <v/>
      </c>
      <c r="C10" s="6">
        <f>B10/6</f>
        <v/>
      </c>
      <c r="D10" s="7">
        <f>B10/SUM($B$5:$B$11)</f>
        <v/>
      </c>
    </row>
    <row r="11">
      <c r="A11" s="2" t="inlineStr">
        <is>
          <t>UI/UX and presentation support</t>
        </is>
      </c>
      <c r="B11" s="6">
        <f>60000/1000000*Inputs!B37</f>
        <v/>
      </c>
      <c r="C11" s="6">
        <f>B11/6</f>
        <v/>
      </c>
      <c r="D11" s="7">
        <f>B11/SUM($B$5:$B$11)</f>
        <v/>
      </c>
    </row>
    <row r="12">
      <c r="A12" s="9" t="inlineStr">
        <is>
          <t>Total</t>
        </is>
      </c>
      <c r="B12" s="9">
        <f>SUM(B5:B11)</f>
        <v/>
      </c>
      <c r="C12" s="9">
        <f>SUM(C5:C11)</f>
        <v/>
      </c>
      <c r="D12" s="9">
        <f>SUM(D5:D11)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90" customWidth="1" min="2" max="2"/>
    <col width="18" customWidth="1" min="3" max="3"/>
    <col width="18" customWidth="1" min="4" max="4"/>
  </cols>
  <sheetData>
    <row r="1">
      <c r="A1" s="1" t="inlineStr">
        <is>
          <t>Model Notes</t>
        </is>
      </c>
      <c r="B1" s="2" t="n"/>
    </row>
    <row r="2">
      <c r="A2" s="3" t="inlineStr">
        <is>
          <t>Use this workbook if the dashboard is unavailable.</t>
        </is>
      </c>
      <c r="B2" s="2" t="n"/>
    </row>
    <row r="3">
      <c r="A3" s="2" t="n"/>
      <c r="B3" s="2" t="n"/>
    </row>
    <row r="4">
      <c r="A4" s="4" t="inlineStr">
        <is>
          <t>Topic</t>
        </is>
      </c>
      <c r="B4" s="4" t="inlineStr">
        <is>
          <t>Note</t>
        </is>
      </c>
    </row>
    <row r="5">
      <c r="A5" s="2" t="inlineStr">
        <is>
          <t>Purpose</t>
        </is>
      </c>
      <c r="B5" s="2" t="inlineStr">
        <is>
          <t>Answer how much E-Ride must earn per user and how many completed rides/day are needed to maintain service.</t>
        </is>
      </c>
    </row>
    <row r="6">
      <c r="A6" s="2" t="inlineStr">
        <is>
          <t>Toggles</t>
        </is>
      </c>
      <c r="B6" s="2" t="inlineStr">
        <is>
          <t>Inputs rows 5-7 control whether fleet assets, development cost, and cloud/API cost are recovered in monthly profit.</t>
        </is>
      </c>
    </row>
    <row r="7">
      <c r="A7" s="2" t="inlineStr">
        <is>
          <t>Cloud basis</t>
        </is>
      </c>
      <c r="B7" s="2" t="inlineStr">
        <is>
          <t>POC baseline is PHP 1,500. Growth uses 21 days, PHP 58/USD, 10,000 free monthly events per priced API, and per-user daily API ratios from the Dev Costing Foundation workbook.</t>
        </is>
      </c>
    </row>
    <row r="8">
      <c r="A8" s="2" t="inlineStr">
        <is>
          <t>Fare basis</t>
        </is>
      </c>
      <c r="B8" s="2" t="inlineStr">
        <is>
          <t>Fare follows base + distance + time, then applies the E-Ride electric discount.</t>
        </is>
      </c>
    </row>
    <row r="9">
      <c r="A9" s="2" t="inlineStr">
        <is>
          <t>Break-even caution</t>
        </is>
      </c>
      <c r="B9" s="2" t="inlineStr">
        <is>
          <t>Break-even rides/day is an approximation because incentives can change once gross fare/rider/day crosses the threshold.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2026-07-10T00:42:41Z</dcterms:created>
  <dcterms:modified xmlns:dcterms="http://purl.org/dc/terms/" xmlns:xsi="http://www.w3.org/2001/XMLSchema-instance" xsi:type="dcterms:W3CDTF">2026-07-10T00:43:17Z</dcterms:modified>
</cp:coreProperties>
</file>